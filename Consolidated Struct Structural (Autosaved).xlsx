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Tektonic Design\Desktop\Gilbert Files\Office Garage\"/>
    </mc:Choice>
  </mc:AlternateContent>
  <bookViews>
    <workbookView xWindow="0" yWindow="0" windowWidth="23040" windowHeight="8952" activeTab="6"/>
  </bookViews>
  <sheets>
    <sheet name="Footing" sheetId="1" r:id="rId1"/>
    <sheet name="Concrete Proportion" sheetId="8" state="hidden" r:id="rId2"/>
    <sheet name="Column | Pedestal" sheetId="2" r:id="rId3"/>
    <sheet name="Steel Items" sheetId="3" r:id="rId4"/>
    <sheet name="Tile works" sheetId="9" r:id="rId5"/>
    <sheet name="SOG" sheetId="6" r:id="rId6"/>
    <sheet name="BOQ" sheetId="7" r:id="rId7"/>
    <sheet name="P1 | C1" sheetId="4" state="hidden" r:id="rId8"/>
  </sheets>
  <definedNames>
    <definedName name="_xlnm.Print_Area" localSheetId="6">BOQ!$A$1:$X$212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71" i="7" l="1"/>
  <c r="AF84" i="7" l="1"/>
  <c r="AF81" i="7" l="1"/>
  <c r="Q3" i="3"/>
  <c r="AF169" i="7" l="1"/>
  <c r="AE169" i="7"/>
  <c r="AF166" i="7"/>
  <c r="AE166" i="7"/>
  <c r="AF163" i="7"/>
  <c r="AE163" i="7"/>
  <c r="AF158" i="7"/>
  <c r="AE158" i="7"/>
  <c r="AF154" i="7"/>
  <c r="AE154" i="7"/>
  <c r="AF151" i="7"/>
  <c r="AE151" i="7"/>
  <c r="AF144" i="7"/>
  <c r="AE144" i="7"/>
  <c r="AE143" i="7"/>
  <c r="AE141" i="7"/>
  <c r="AE140" i="7"/>
  <c r="AE134" i="7"/>
  <c r="AE133" i="7"/>
  <c r="AE131" i="7"/>
  <c r="AE130" i="7"/>
  <c r="AE128" i="7"/>
  <c r="AE127" i="7"/>
  <c r="AE125" i="7"/>
  <c r="AE124" i="7"/>
  <c r="AE120" i="7"/>
  <c r="AE116" i="7"/>
  <c r="AE117" i="7" s="1"/>
  <c r="AF113" i="7"/>
  <c r="AE113" i="7"/>
  <c r="AF112" i="7"/>
  <c r="AE112" i="7"/>
  <c r="AF109" i="7"/>
  <c r="AE109" i="7"/>
  <c r="AF108" i="7"/>
  <c r="AE108" i="7"/>
  <c r="AE110" i="7" s="1"/>
  <c r="AF105" i="7"/>
  <c r="AE105" i="7"/>
  <c r="AF103" i="7"/>
  <c r="AE103" i="7"/>
  <c r="AF102" i="7"/>
  <c r="AE102" i="7"/>
  <c r="AF98" i="7"/>
  <c r="AE98" i="7"/>
  <c r="AF97" i="7"/>
  <c r="AE97" i="7"/>
  <c r="AF95" i="7"/>
  <c r="AE95" i="7"/>
  <c r="AF94" i="7"/>
  <c r="AE94" i="7"/>
  <c r="AF92" i="7"/>
  <c r="AE92" i="7"/>
  <c r="AF89" i="7"/>
  <c r="AE89" i="7"/>
  <c r="AF65" i="7"/>
  <c r="AE65" i="7"/>
  <c r="AF62" i="7"/>
  <c r="AE62" i="7"/>
  <c r="AE35" i="7"/>
  <c r="AE34" i="7"/>
  <c r="AF35" i="7"/>
  <c r="AF34" i="7"/>
  <c r="AF19" i="7"/>
  <c r="AF18" i="7"/>
  <c r="AF17" i="7"/>
  <c r="AF16" i="7"/>
  <c r="AF15" i="7"/>
  <c r="AF14" i="7"/>
  <c r="AF13" i="7"/>
  <c r="AF12" i="7"/>
  <c r="AF11" i="7"/>
  <c r="AF10" i="7"/>
  <c r="AF80" i="7"/>
  <c r="AF79" i="7"/>
  <c r="AF77" i="7"/>
  <c r="AF76" i="7"/>
  <c r="AF68" i="7"/>
  <c r="AF69" i="7"/>
  <c r="AF71" i="7"/>
  <c r="AE69" i="7"/>
  <c r="AE71" i="7"/>
  <c r="AE76" i="7"/>
  <c r="AE77" i="7"/>
  <c r="AE79" i="7"/>
  <c r="AE80" i="7"/>
  <c r="AE84" i="7"/>
  <c r="AE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68" i="7"/>
  <c r="AF110" i="7" l="1"/>
  <c r="AG152" i="7"/>
  <c r="H3" i="3" l="1"/>
  <c r="V80" i="7" l="1"/>
  <c r="W80" i="7" s="1"/>
  <c r="AC80" i="7" l="1"/>
  <c r="AB80" i="7" s="1"/>
  <c r="X80" i="7" s="1"/>
  <c r="N35" i="2"/>
  <c r="N34" i="2"/>
  <c r="V54" i="3" l="1"/>
  <c r="R56" i="3"/>
  <c r="Q89" i="3"/>
  <c r="Q88" i="3"/>
  <c r="S68" i="3"/>
  <c r="S67" i="3"/>
  <c r="S3" i="3"/>
  <c r="P3" i="3"/>
  <c r="O3" i="3"/>
  <c r="M3" i="3"/>
  <c r="L3" i="3"/>
  <c r="K3" i="3"/>
  <c r="J3" i="3"/>
  <c r="E26" i="1" l="1"/>
  <c r="K19" i="1"/>
  <c r="I33" i="6" l="1"/>
  <c r="I50" i="2"/>
  <c r="I33" i="1"/>
  <c r="M14" i="9" l="1"/>
  <c r="M13" i="9"/>
  <c r="M12" i="9"/>
  <c r="D23" i="1" l="1"/>
  <c r="F33" i="1"/>
  <c r="F33" i="6" l="1"/>
  <c r="H33" i="6"/>
  <c r="G33" i="6"/>
  <c r="D33" i="6"/>
  <c r="H50" i="2"/>
  <c r="G50" i="2"/>
  <c r="F50" i="2"/>
  <c r="D50" i="2"/>
  <c r="D33" i="1"/>
  <c r="E30" i="1"/>
  <c r="AB92" i="7" l="1"/>
  <c r="X92" i="7" s="1"/>
  <c r="Y92" i="7"/>
  <c r="V92" i="7" s="1"/>
  <c r="W92" i="7" s="1"/>
  <c r="V76" i="7"/>
  <c r="W76" i="7" s="1"/>
  <c r="T38" i="7"/>
  <c r="T37" i="7"/>
  <c r="E29" i="1"/>
  <c r="T36" i="7" s="1"/>
  <c r="P89" i="3"/>
  <c r="R89" i="3" s="1"/>
  <c r="P88" i="3"/>
  <c r="R88" i="3" s="1"/>
  <c r="AF38" i="7" l="1"/>
  <c r="AE38" i="7"/>
  <c r="AE36" i="7"/>
  <c r="AF36" i="7"/>
  <c r="AF37" i="7"/>
  <c r="AE37" i="7"/>
  <c r="T47" i="7"/>
  <c r="AC76" i="7"/>
  <c r="T82" i="7"/>
  <c r="V83" i="7"/>
  <c r="V82" i="7"/>
  <c r="V81" i="7"/>
  <c r="V79" i="7"/>
  <c r="W79" i="7" s="1"/>
  <c r="V78" i="7"/>
  <c r="T60" i="7"/>
  <c r="T59" i="7"/>
  <c r="T53" i="7"/>
  <c r="T52" i="7"/>
  <c r="T51" i="7"/>
  <c r="T45" i="7"/>
  <c r="T39" i="7"/>
  <c r="AF170" i="7"/>
  <c r="AB169" i="7"/>
  <c r="X169" i="7" s="1"/>
  <c r="Y169" i="7"/>
  <c r="V169" i="7" s="1"/>
  <c r="W169" i="7" s="1"/>
  <c r="AB166" i="7"/>
  <c r="X166" i="7" s="1"/>
  <c r="Y166" i="7"/>
  <c r="V166" i="7" s="1"/>
  <c r="W166" i="7" s="1"/>
  <c r="AB163" i="7"/>
  <c r="X163" i="7" s="1"/>
  <c r="Y163" i="7"/>
  <c r="V163" i="7" s="1"/>
  <c r="W163" i="7" s="1"/>
  <c r="AF160" i="7"/>
  <c r="AE160" i="7"/>
  <c r="AB158" i="7"/>
  <c r="X158" i="7" s="1"/>
  <c r="X160" i="7" s="1"/>
  <c r="Y158" i="7"/>
  <c r="V158" i="7" s="1"/>
  <c r="W158" i="7" s="1"/>
  <c r="W160" i="7" s="1"/>
  <c r="AF156" i="7"/>
  <c r="AE156" i="7"/>
  <c r="AB154" i="7"/>
  <c r="X154" i="7" s="1"/>
  <c r="X156" i="7" s="1"/>
  <c r="Y154" i="7"/>
  <c r="V154" i="7" s="1"/>
  <c r="W154" i="7" s="1"/>
  <c r="W156" i="7" s="1"/>
  <c r="AB151" i="7"/>
  <c r="X151" i="7" s="1"/>
  <c r="X152" i="7" s="1"/>
  <c r="Y151" i="7"/>
  <c r="V151" i="7" s="1"/>
  <c r="W151" i="7" s="1"/>
  <c r="W152" i="7" s="1"/>
  <c r="AF148" i="7"/>
  <c r="AF149" i="7" s="1"/>
  <c r="AE148" i="7"/>
  <c r="AE149" i="7" s="1"/>
  <c r="AG149" i="7" s="1"/>
  <c r="AB148" i="7"/>
  <c r="X148" i="7" s="1"/>
  <c r="X149" i="7" s="1"/>
  <c r="Y148" i="7"/>
  <c r="V148" i="7" s="1"/>
  <c r="W148" i="7" s="1"/>
  <c r="W149" i="7" s="1"/>
  <c r="AB144" i="7"/>
  <c r="X144" i="7" s="1"/>
  <c r="Y144" i="7"/>
  <c r="V144" i="7" s="1"/>
  <c r="W144" i="7" s="1"/>
  <c r="Y143" i="7"/>
  <c r="V143" i="7" s="1"/>
  <c r="W143" i="7" s="1"/>
  <c r="AC143" i="7" s="1"/>
  <c r="Y141" i="7"/>
  <c r="V141" i="7" s="1"/>
  <c r="W141" i="7" s="1"/>
  <c r="AC141" i="7" s="1"/>
  <c r="Y140" i="7"/>
  <c r="V140" i="7" s="1"/>
  <c r="W140" i="7" s="1"/>
  <c r="AF135" i="7"/>
  <c r="AE135" i="7"/>
  <c r="AB135" i="7"/>
  <c r="X135" i="7" s="1"/>
  <c r="Y135" i="7"/>
  <c r="V135" i="7" s="1"/>
  <c r="W135" i="7" s="1"/>
  <c r="Y134" i="7"/>
  <c r="V134" i="7" s="1"/>
  <c r="W134" i="7" s="1"/>
  <c r="AC134" i="7" s="1"/>
  <c r="Y133" i="7"/>
  <c r="V133" i="7" s="1"/>
  <c r="W133" i="7" s="1"/>
  <c r="AC133" i="7" s="1"/>
  <c r="Y131" i="7"/>
  <c r="V131" i="7" s="1"/>
  <c r="W131" i="7" s="1"/>
  <c r="AC131" i="7" s="1"/>
  <c r="Y130" i="7"/>
  <c r="V130" i="7" s="1"/>
  <c r="W130" i="7" s="1"/>
  <c r="AC130" i="7" s="1"/>
  <c r="Y128" i="7"/>
  <c r="V128" i="7" s="1"/>
  <c r="W128" i="7" s="1"/>
  <c r="AC128" i="7" s="1"/>
  <c r="Y127" i="7"/>
  <c r="V127" i="7" s="1"/>
  <c r="W127" i="7" s="1"/>
  <c r="AC127" i="7" s="1"/>
  <c r="Y125" i="7"/>
  <c r="V125" i="7" s="1"/>
  <c r="W125" i="7" s="1"/>
  <c r="AC125" i="7" s="1"/>
  <c r="Y124" i="7"/>
  <c r="V124" i="7" s="1"/>
  <c r="W124" i="7" s="1"/>
  <c r="Y120" i="7"/>
  <c r="V120" i="7" s="1"/>
  <c r="W120" i="7" s="1"/>
  <c r="Y116" i="7"/>
  <c r="V116" i="7" s="1"/>
  <c r="W116" i="7" s="1"/>
  <c r="AB113" i="7"/>
  <c r="X113" i="7" s="1"/>
  <c r="Y113" i="7"/>
  <c r="V113" i="7" s="1"/>
  <c r="W113" i="7" s="1"/>
  <c r="AF114" i="7"/>
  <c r="AB112" i="7"/>
  <c r="X112" i="7" s="1"/>
  <c r="Y112" i="7"/>
  <c r="V112" i="7" s="1"/>
  <c r="W112" i="7" s="1"/>
  <c r="AB109" i="7"/>
  <c r="X109" i="7" s="1"/>
  <c r="Y109" i="7"/>
  <c r="V109" i="7" s="1"/>
  <c r="W109" i="7" s="1"/>
  <c r="AB108" i="7"/>
  <c r="X108" i="7" s="1"/>
  <c r="Y108" i="7"/>
  <c r="V108" i="7" s="1"/>
  <c r="W108" i="7" s="1"/>
  <c r="AB105" i="7"/>
  <c r="X105" i="7" s="1"/>
  <c r="Y105" i="7"/>
  <c r="V105" i="7" s="1"/>
  <c r="W105" i="7" s="1"/>
  <c r="AB103" i="7"/>
  <c r="X103" i="7" s="1"/>
  <c r="Y103" i="7"/>
  <c r="V103" i="7" s="1"/>
  <c r="W103" i="7" s="1"/>
  <c r="AB102" i="7"/>
  <c r="X102" i="7" s="1"/>
  <c r="Y102" i="7"/>
  <c r="V102" i="7" s="1"/>
  <c r="W102" i="7" s="1"/>
  <c r="AB98" i="7"/>
  <c r="X98" i="7" s="1"/>
  <c r="Y98" i="7"/>
  <c r="V98" i="7" s="1"/>
  <c r="W98" i="7" s="1"/>
  <c r="AB97" i="7"/>
  <c r="X97" i="7" s="1"/>
  <c r="Y97" i="7"/>
  <c r="V97" i="7" s="1"/>
  <c r="W97" i="7" s="1"/>
  <c r="AB95" i="7"/>
  <c r="X95" i="7" s="1"/>
  <c r="Y95" i="7"/>
  <c r="V95" i="7" s="1"/>
  <c r="W95" i="7" s="1"/>
  <c r="AB94" i="7"/>
  <c r="X94" i="7" s="1"/>
  <c r="Y94" i="7"/>
  <c r="V94" i="7" s="1"/>
  <c r="W94" i="7" s="1"/>
  <c r="AB89" i="7"/>
  <c r="X89" i="7" s="1"/>
  <c r="Y89" i="7"/>
  <c r="V89" i="7" s="1"/>
  <c r="W89" i="7" s="1"/>
  <c r="A86" i="7"/>
  <c r="V77" i="7"/>
  <c r="W77" i="7" s="1"/>
  <c r="V75" i="7"/>
  <c r="V74" i="7"/>
  <c r="V73" i="7"/>
  <c r="V72" i="7"/>
  <c r="V71" i="7"/>
  <c r="W71" i="7" s="1"/>
  <c r="V70" i="7"/>
  <c r="AB65" i="7"/>
  <c r="X65" i="7" s="1"/>
  <c r="X66" i="7" s="1"/>
  <c r="Y65" i="7"/>
  <c r="V65" i="7" s="1"/>
  <c r="AE66" i="7"/>
  <c r="AB62" i="7"/>
  <c r="X62" i="7" s="1"/>
  <c r="Y62" i="7"/>
  <c r="V62" i="7" s="1"/>
  <c r="W62" i="7" s="1"/>
  <c r="Y61" i="7"/>
  <c r="V61" i="7" s="1"/>
  <c r="AB61" i="7" s="1"/>
  <c r="Y60" i="7"/>
  <c r="V60" i="7" s="1"/>
  <c r="Y59" i="7"/>
  <c r="V59" i="7" s="1"/>
  <c r="Y58" i="7"/>
  <c r="V58" i="7" s="1"/>
  <c r="AB58" i="7" s="1"/>
  <c r="AB57" i="7"/>
  <c r="Y57" i="7"/>
  <c r="V57" i="7" s="1"/>
  <c r="AB54" i="7"/>
  <c r="Y54" i="7"/>
  <c r="V54" i="7" s="1"/>
  <c r="AB53" i="7"/>
  <c r="Y53" i="7"/>
  <c r="V53" i="7" s="1"/>
  <c r="AB52" i="7"/>
  <c r="Y52" i="7"/>
  <c r="V52" i="7" s="1"/>
  <c r="AB51" i="7"/>
  <c r="Y51" i="7"/>
  <c r="V51" i="7" s="1"/>
  <c r="AB48" i="7"/>
  <c r="Y48" i="7"/>
  <c r="V48" i="7" s="1"/>
  <c r="AB47" i="7"/>
  <c r="Y47" i="7"/>
  <c r="V47" i="7" s="1"/>
  <c r="AB46" i="7"/>
  <c r="Y46" i="7"/>
  <c r="V46" i="7" s="1"/>
  <c r="AB45" i="7"/>
  <c r="Y45" i="7"/>
  <c r="V45" i="7" s="1"/>
  <c r="AB44" i="7"/>
  <c r="Y44" i="7"/>
  <c r="V44" i="7" s="1"/>
  <c r="AB43" i="7"/>
  <c r="Y43" i="7"/>
  <c r="V43" i="7" s="1"/>
  <c r="AB42" i="7"/>
  <c r="Y42" i="7"/>
  <c r="V42" i="7" s="1"/>
  <c r="AB39" i="7"/>
  <c r="Y39" i="7"/>
  <c r="V39" i="7" s="1"/>
  <c r="AB38" i="7"/>
  <c r="X38" i="7" s="1"/>
  <c r="Y38" i="7"/>
  <c r="V38" i="7" s="1"/>
  <c r="AB37" i="7"/>
  <c r="Y37" i="7"/>
  <c r="V37" i="7" s="1"/>
  <c r="AB36" i="7"/>
  <c r="Y36" i="7"/>
  <c r="V36" i="7" s="1"/>
  <c r="AB35" i="7"/>
  <c r="X35" i="7" s="1"/>
  <c r="Y35" i="7"/>
  <c r="V35" i="7" s="1"/>
  <c r="W35" i="7" s="1"/>
  <c r="AB34" i="7"/>
  <c r="X34" i="7" s="1"/>
  <c r="Y34" i="7"/>
  <c r="V34" i="7" s="1"/>
  <c r="W34" i="7" s="1"/>
  <c r="AF26" i="7"/>
  <c r="AB26" i="7"/>
  <c r="X26" i="7" s="1"/>
  <c r="Y26" i="7"/>
  <c r="V26" i="7" s="1"/>
  <c r="W26" i="7" s="1"/>
  <c r="AF25" i="7"/>
  <c r="AB25" i="7"/>
  <c r="X25" i="7" s="1"/>
  <c r="Y25" i="7"/>
  <c r="V25" i="7" s="1"/>
  <c r="W25" i="7" s="1"/>
  <c r="AF24" i="7"/>
  <c r="AB24" i="7"/>
  <c r="X24" i="7" s="1"/>
  <c r="Y24" i="7"/>
  <c r="V24" i="7" s="1"/>
  <c r="W24" i="7" s="1"/>
  <c r="AF23" i="7"/>
  <c r="AB23" i="7"/>
  <c r="X23" i="7" s="1"/>
  <c r="Y23" i="7"/>
  <c r="V23" i="7" s="1"/>
  <c r="W23" i="7" s="1"/>
  <c r="AF22" i="7"/>
  <c r="AB22" i="7"/>
  <c r="X22" i="7" s="1"/>
  <c r="Y22" i="7"/>
  <c r="V22" i="7" s="1"/>
  <c r="W22" i="7" s="1"/>
  <c r="AE19" i="7"/>
  <c r="AB19" i="7"/>
  <c r="X19" i="7" s="1"/>
  <c r="Y19" i="7"/>
  <c r="V19" i="7" s="1"/>
  <c r="W19" i="7" s="1"/>
  <c r="AE18" i="7"/>
  <c r="AB18" i="7"/>
  <c r="X18" i="7" s="1"/>
  <c r="Y18" i="7"/>
  <c r="V18" i="7" s="1"/>
  <c r="W18" i="7" s="1"/>
  <c r="AE17" i="7"/>
  <c r="AB17" i="7"/>
  <c r="X17" i="7" s="1"/>
  <c r="Y17" i="7"/>
  <c r="V17" i="7" s="1"/>
  <c r="W17" i="7" s="1"/>
  <c r="AE16" i="7"/>
  <c r="AB16" i="7"/>
  <c r="X16" i="7" s="1"/>
  <c r="Y16" i="7"/>
  <c r="V16" i="7" s="1"/>
  <c r="W16" i="7" s="1"/>
  <c r="AE15" i="7"/>
  <c r="AB15" i="7"/>
  <c r="X15" i="7" s="1"/>
  <c r="Y15" i="7"/>
  <c r="V15" i="7" s="1"/>
  <c r="W15" i="7" s="1"/>
  <c r="AE14" i="7"/>
  <c r="AB14" i="7"/>
  <c r="X14" i="7" s="1"/>
  <c r="Y14" i="7"/>
  <c r="V14" i="7" s="1"/>
  <c r="W14" i="7" s="1"/>
  <c r="AB13" i="7"/>
  <c r="Y13" i="7"/>
  <c r="V13" i="7" s="1"/>
  <c r="W13" i="7" s="1"/>
  <c r="AB12" i="7"/>
  <c r="Y12" i="7"/>
  <c r="V12" i="7" s="1"/>
  <c r="W12" i="7" s="1"/>
  <c r="AB11" i="7"/>
  <c r="Y11" i="7"/>
  <c r="V11" i="7" s="1"/>
  <c r="W11" i="7" s="1"/>
  <c r="AE10" i="7"/>
  <c r="AB10" i="7"/>
  <c r="X10" i="7" s="1"/>
  <c r="Y10" i="7"/>
  <c r="V10" i="7" s="1"/>
  <c r="W10" i="7" s="1"/>
  <c r="AB125" i="7" l="1"/>
  <c r="X125" i="7" s="1"/>
  <c r="AF125" i="7"/>
  <c r="AB141" i="7"/>
  <c r="X141" i="7" s="1"/>
  <c r="AF141" i="7"/>
  <c r="AE45" i="7"/>
  <c r="AF45" i="7"/>
  <c r="AB127" i="7"/>
  <c r="X127" i="7" s="1"/>
  <c r="AF127" i="7"/>
  <c r="AB133" i="7"/>
  <c r="X133" i="7" s="1"/>
  <c r="AF133" i="7"/>
  <c r="AB143" i="7"/>
  <c r="X143" i="7" s="1"/>
  <c r="AF143" i="7"/>
  <c r="AF51" i="7"/>
  <c r="AE51" i="7"/>
  <c r="AF60" i="7"/>
  <c r="AE60" i="7"/>
  <c r="AF47" i="7"/>
  <c r="AE47" i="7"/>
  <c r="AB128" i="7"/>
  <c r="X128" i="7" s="1"/>
  <c r="AF128" i="7"/>
  <c r="AB134" i="7"/>
  <c r="X134" i="7" s="1"/>
  <c r="AF134" i="7"/>
  <c r="AF52" i="7"/>
  <c r="AE52" i="7"/>
  <c r="AB131" i="7"/>
  <c r="X131" i="7" s="1"/>
  <c r="AF131" i="7"/>
  <c r="AE59" i="7"/>
  <c r="AF59" i="7"/>
  <c r="AB130" i="7"/>
  <c r="X130" i="7" s="1"/>
  <c r="AF130" i="7"/>
  <c r="AE39" i="7"/>
  <c r="AF39" i="7"/>
  <c r="AF53" i="7"/>
  <c r="AE53" i="7"/>
  <c r="AF82" i="7"/>
  <c r="AE82" i="7"/>
  <c r="AG160" i="7"/>
  <c r="AG156" i="7"/>
  <c r="W47" i="7"/>
  <c r="X114" i="7"/>
  <c r="W82" i="7"/>
  <c r="AC82" i="7" s="1"/>
  <c r="AB82" i="7" s="1"/>
  <c r="X82" i="7" s="1"/>
  <c r="V69" i="7"/>
  <c r="W69" i="7" s="1"/>
  <c r="AC69" i="7" s="1"/>
  <c r="V68" i="7"/>
  <c r="W68" i="7" s="1"/>
  <c r="AC68" i="7" s="1"/>
  <c r="V84" i="7"/>
  <c r="W84" i="7" s="1"/>
  <c r="T189" i="7"/>
  <c r="AB76" i="7"/>
  <c r="X76" i="7" s="1"/>
  <c r="AC124" i="7"/>
  <c r="T57" i="7"/>
  <c r="T188" i="7"/>
  <c r="X164" i="7"/>
  <c r="X52" i="7"/>
  <c r="W60" i="7"/>
  <c r="AF167" i="7"/>
  <c r="W45" i="7"/>
  <c r="X106" i="7"/>
  <c r="AE136" i="7"/>
  <c r="AF20" i="7"/>
  <c r="X39" i="7"/>
  <c r="X99" i="7"/>
  <c r="X110" i="7"/>
  <c r="AC77" i="7"/>
  <c r="AB77" i="7" s="1"/>
  <c r="X77" i="7" s="1"/>
  <c r="W37" i="7"/>
  <c r="X36" i="7"/>
  <c r="X51" i="7"/>
  <c r="X27" i="7"/>
  <c r="X45" i="7"/>
  <c r="X47" i="7"/>
  <c r="AE99" i="7"/>
  <c r="AE106" i="7"/>
  <c r="W114" i="7"/>
  <c r="AE114" i="7"/>
  <c r="AG114" i="7" s="1"/>
  <c r="X20" i="7"/>
  <c r="T174" i="7" s="1"/>
  <c r="J200" i="7" s="1"/>
  <c r="W36" i="7"/>
  <c r="W38" i="7"/>
  <c r="X53" i="7"/>
  <c r="AF106" i="7"/>
  <c r="W167" i="7"/>
  <c r="AF27" i="7"/>
  <c r="AG27" i="7" s="1"/>
  <c r="X37" i="7"/>
  <c r="W39" i="7"/>
  <c r="AF66" i="7"/>
  <c r="AG66" i="7" s="1"/>
  <c r="X90" i="7"/>
  <c r="AF90" i="7"/>
  <c r="AE90" i="7"/>
  <c r="AE167" i="7"/>
  <c r="W20" i="7"/>
  <c r="W27" i="7" s="1"/>
  <c r="AB59" i="7"/>
  <c r="X59" i="7" s="1"/>
  <c r="W59" i="7"/>
  <c r="AB60" i="7"/>
  <c r="X60" i="7" s="1"/>
  <c r="AF99" i="7"/>
  <c r="W117" i="7"/>
  <c r="AC116" i="7"/>
  <c r="AF116" i="7" s="1"/>
  <c r="AF117" i="7" s="1"/>
  <c r="AG117" i="7" s="1"/>
  <c r="W136" i="7"/>
  <c r="AC120" i="7"/>
  <c r="W51" i="7"/>
  <c r="W52" i="7"/>
  <c r="W53" i="7"/>
  <c r="W145" i="7"/>
  <c r="W99" i="7"/>
  <c r="W106" i="7"/>
  <c r="W110" i="7"/>
  <c r="W164" i="7"/>
  <c r="W170" i="7"/>
  <c r="W65" i="7"/>
  <c r="W66" i="7" s="1"/>
  <c r="W90" i="7"/>
  <c r="AC140" i="7"/>
  <c r="T187" i="7"/>
  <c r="AE164" i="7"/>
  <c r="AE170" i="7"/>
  <c r="AG170" i="7" s="1"/>
  <c r="AE145" i="7"/>
  <c r="T190" i="7"/>
  <c r="AF164" i="7"/>
  <c r="X170" i="7"/>
  <c r="X167" i="7"/>
  <c r="X40" i="7" l="1"/>
  <c r="W40" i="7"/>
  <c r="AG20" i="7"/>
  <c r="AE57" i="7"/>
  <c r="AF57" i="7"/>
  <c r="AB124" i="7"/>
  <c r="X124" i="7" s="1"/>
  <c r="AF124" i="7"/>
  <c r="AB140" i="7"/>
  <c r="X140" i="7" s="1"/>
  <c r="X145" i="7" s="1"/>
  <c r="T185" i="7" s="1"/>
  <c r="AF140" i="7"/>
  <c r="AF145" i="7" s="1"/>
  <c r="AB120" i="7"/>
  <c r="X120" i="7" s="1"/>
  <c r="X136" i="7" s="1"/>
  <c r="T184" i="7" s="1"/>
  <c r="AF120" i="7"/>
  <c r="AF136" i="7" s="1"/>
  <c r="AG136" i="7" s="1"/>
  <c r="AG90" i="7"/>
  <c r="AG106" i="7"/>
  <c r="AG145" i="7"/>
  <c r="AG99" i="7"/>
  <c r="AG167" i="7"/>
  <c r="AG164" i="7"/>
  <c r="AG110" i="7"/>
  <c r="T182" i="7"/>
  <c r="AB69" i="7"/>
  <c r="X69" i="7" s="1"/>
  <c r="AB68" i="7"/>
  <c r="X68" i="7" s="1"/>
  <c r="AB84" i="7"/>
  <c r="X84" i="7" s="1"/>
  <c r="T179" i="7"/>
  <c r="AF40" i="7"/>
  <c r="T180" i="7"/>
  <c r="T192" i="7"/>
  <c r="T181" i="7"/>
  <c r="AE40" i="7"/>
  <c r="T193" i="7"/>
  <c r="X57" i="7"/>
  <c r="W57" i="7"/>
  <c r="T194" i="7"/>
  <c r="T178" i="7"/>
  <c r="T186" i="7"/>
  <c r="AB116" i="7"/>
  <c r="X116" i="7" s="1"/>
  <c r="X117" i="7" s="1"/>
  <c r="T175" i="7"/>
  <c r="J201" i="7" s="1"/>
  <c r="AG40" i="7" l="1"/>
  <c r="T191" i="7"/>
  <c r="T183" i="7"/>
  <c r="T176" i="7" s="1"/>
  <c r="T195" i="7" l="1"/>
  <c r="T83" i="7" l="1"/>
  <c r="T72" i="7"/>
  <c r="Q67" i="3"/>
  <c r="R67" i="3" s="1"/>
  <c r="Q68" i="3"/>
  <c r="R68" i="3" s="1"/>
  <c r="Q66" i="3"/>
  <c r="W72" i="7" l="1"/>
  <c r="AF72" i="7"/>
  <c r="AE72" i="7"/>
  <c r="W83" i="7"/>
  <c r="AC83" i="7" s="1"/>
  <c r="AB83" i="7" s="1"/>
  <c r="X83" i="7" s="1"/>
  <c r="AE83" i="7"/>
  <c r="AF83" i="7"/>
  <c r="AC72" i="7"/>
  <c r="V53" i="3"/>
  <c r="W81" i="7" l="1"/>
  <c r="AC81" i="7" s="1"/>
  <c r="AE81" i="7"/>
  <c r="AB72" i="7"/>
  <c r="X72" i="7" s="1"/>
  <c r="R59" i="3"/>
  <c r="AB81" i="7"/>
  <c r="X81" i="7" s="1"/>
  <c r="S69" i="3"/>
  <c r="O2" i="3"/>
  <c r="J36" i="3"/>
  <c r="J38" i="3" s="1"/>
  <c r="Q35" i="2"/>
  <c r="Q34" i="2"/>
  <c r="O34" i="2"/>
  <c r="O19" i="6"/>
  <c r="P19" i="6"/>
  <c r="I19" i="6"/>
  <c r="J19" i="6"/>
  <c r="T73" i="7"/>
  <c r="H21" i="3"/>
  <c r="H20" i="3"/>
  <c r="I15" i="3"/>
  <c r="I14" i="3"/>
  <c r="M14" i="3"/>
  <c r="K15" i="3"/>
  <c r="M15" i="3" s="1"/>
  <c r="I25" i="3"/>
  <c r="G26" i="3"/>
  <c r="I26" i="3" s="1"/>
  <c r="W73" i="7" l="1"/>
  <c r="AF73" i="7"/>
  <c r="AE73" i="7"/>
  <c r="N3" i="3"/>
  <c r="T78" i="7" s="1"/>
  <c r="H22" i="3"/>
  <c r="S71" i="3"/>
  <c r="T46" i="7" s="1"/>
  <c r="AC73" i="7"/>
  <c r="AB73" i="7" s="1"/>
  <c r="X73" i="7" s="1"/>
  <c r="T54" i="7"/>
  <c r="T61" i="7"/>
  <c r="T48" i="7"/>
  <c r="T74" i="7"/>
  <c r="H11" i="3"/>
  <c r="T75" i="7" s="1"/>
  <c r="F3" i="3"/>
  <c r="E26" i="6"/>
  <c r="Q19" i="6"/>
  <c r="N19" i="6"/>
  <c r="M19" i="6"/>
  <c r="D27" i="6"/>
  <c r="D23" i="6"/>
  <c r="R19" i="6"/>
  <c r="E28" i="6" s="1"/>
  <c r="E27" i="6"/>
  <c r="E10" i="6"/>
  <c r="O35" i="2"/>
  <c r="W35" i="2" s="1"/>
  <c r="W34" i="2"/>
  <c r="J16" i="4"/>
  <c r="J17" i="4" s="1"/>
  <c r="J15" i="4"/>
  <c r="P34" i="2"/>
  <c r="E16" i="4"/>
  <c r="E15" i="4"/>
  <c r="F15" i="4"/>
  <c r="F16" i="4"/>
  <c r="I16" i="4"/>
  <c r="I15" i="4"/>
  <c r="C15" i="4"/>
  <c r="D16" i="4"/>
  <c r="D15" i="4"/>
  <c r="C11" i="4"/>
  <c r="C16" i="4"/>
  <c r="AF54" i="7" l="1"/>
  <c r="AE54" i="7"/>
  <c r="W78" i="7"/>
  <c r="AC78" i="7" s="1"/>
  <c r="AB78" i="7" s="1"/>
  <c r="X78" i="7" s="1"/>
  <c r="AF78" i="7"/>
  <c r="AE78" i="7"/>
  <c r="W74" i="7"/>
  <c r="AC74" i="7" s="1"/>
  <c r="AF74" i="7"/>
  <c r="AE74" i="7"/>
  <c r="AF46" i="7"/>
  <c r="AE46" i="7"/>
  <c r="W75" i="7"/>
  <c r="AC75" i="7" s="1"/>
  <c r="AE75" i="7"/>
  <c r="AF75" i="7"/>
  <c r="AF48" i="7"/>
  <c r="AE48" i="7"/>
  <c r="AF61" i="7"/>
  <c r="AE61" i="7"/>
  <c r="W46" i="7"/>
  <c r="X46" i="7"/>
  <c r="AF55" i="7"/>
  <c r="AE55" i="7"/>
  <c r="X54" i="7"/>
  <c r="X55" i="7" s="1"/>
  <c r="W54" i="7"/>
  <c r="W55" i="7" s="1"/>
  <c r="AB74" i="7"/>
  <c r="X74" i="7" s="1"/>
  <c r="W61" i="7"/>
  <c r="X61" i="7"/>
  <c r="W48" i="7"/>
  <c r="X48" i="7"/>
  <c r="G3" i="3"/>
  <c r="T70" i="7" s="1"/>
  <c r="E23" i="6"/>
  <c r="S19" i="6"/>
  <c r="E17" i="4"/>
  <c r="AF70" i="7" l="1"/>
  <c r="AE70" i="7"/>
  <c r="AG55" i="7"/>
  <c r="AB75" i="7"/>
  <c r="X75" i="7" s="1"/>
  <c r="AC71" i="7"/>
  <c r="AE85" i="7"/>
  <c r="W70" i="7"/>
  <c r="D45" i="2"/>
  <c r="D41" i="2"/>
  <c r="D40" i="2"/>
  <c r="S35" i="2"/>
  <c r="T35" i="2" s="1"/>
  <c r="R35" i="2"/>
  <c r="H35" i="2"/>
  <c r="K35" i="2" s="1"/>
  <c r="L35" i="2" s="1"/>
  <c r="S34" i="2"/>
  <c r="T34" i="2" s="1"/>
  <c r="R34" i="2"/>
  <c r="H34" i="2"/>
  <c r="I33" i="2"/>
  <c r="H33" i="2"/>
  <c r="D10" i="2"/>
  <c r="D27" i="1"/>
  <c r="R19" i="1"/>
  <c r="S19" i="1" s="1"/>
  <c r="E28" i="1" s="1"/>
  <c r="Q19" i="1"/>
  <c r="E27" i="1" s="1"/>
  <c r="P19" i="1"/>
  <c r="O19" i="1"/>
  <c r="E10" i="1"/>
  <c r="AB71" i="7" l="1"/>
  <c r="X71" i="7" s="1"/>
  <c r="AC70" i="7"/>
  <c r="E80" i="2"/>
  <c r="K34" i="2"/>
  <c r="L34" i="2" s="1"/>
  <c r="T58" i="7"/>
  <c r="H33" i="1"/>
  <c r="G33" i="1"/>
  <c r="F45" i="2"/>
  <c r="E23" i="1"/>
  <c r="T42" i="7" s="1"/>
  <c r="T19" i="1"/>
  <c r="F46" i="2"/>
  <c r="B80" i="2"/>
  <c r="C80" i="2" s="1"/>
  <c r="P35" i="2"/>
  <c r="D80" i="2"/>
  <c r="AE42" i="7" l="1"/>
  <c r="AF42" i="7"/>
  <c r="AE58" i="7"/>
  <c r="AE63" i="7" s="1"/>
  <c r="AF58" i="7"/>
  <c r="AF63" i="7" s="1"/>
  <c r="W58" i="7"/>
  <c r="W63" i="7" s="1"/>
  <c r="X58" i="7"/>
  <c r="X63" i="7" s="1"/>
  <c r="AB70" i="7"/>
  <c r="X70" i="7" s="1"/>
  <c r="AF85" i="7"/>
  <c r="X42" i="7"/>
  <c r="W42" i="7"/>
  <c r="E41" i="2"/>
  <c r="F44" i="2" s="1"/>
  <c r="T44" i="7" s="1"/>
  <c r="E40" i="2"/>
  <c r="F43" i="2" s="1"/>
  <c r="T43" i="7" s="1"/>
  <c r="AF43" i="7" l="1"/>
  <c r="AE43" i="7"/>
  <c r="AF44" i="7"/>
  <c r="AE44" i="7"/>
  <c r="AG63" i="7"/>
  <c r="AG85" i="7"/>
  <c r="W44" i="7"/>
  <c r="W49" i="7" s="1"/>
  <c r="X44" i="7"/>
  <c r="W43" i="7"/>
  <c r="X43" i="7"/>
  <c r="X49" i="7" l="1"/>
  <c r="AE49" i="7"/>
  <c r="AE174" i="7" s="1"/>
  <c r="AF49" i="7"/>
  <c r="AF174" i="7" s="1"/>
  <c r="W85" i="7"/>
  <c r="W171" i="7" s="1"/>
  <c r="J197" i="7" s="1"/>
  <c r="AC79" i="7"/>
  <c r="AB79" i="7" s="1"/>
  <c r="X79" i="7" s="1"/>
  <c r="AG174" i="7" l="1"/>
  <c r="AG49" i="7"/>
  <c r="AF177" i="7"/>
  <c r="X85" i="7"/>
  <c r="J198" i="7" s="1"/>
  <c r="J199" i="7" s="1"/>
  <c r="J202" i="7" l="1"/>
  <c r="J204" i="7" s="1"/>
  <c r="J203" i="7"/>
  <c r="J205" i="7" l="1"/>
  <c r="AF176" i="7" s="1"/>
  <c r="AF178" i="7" s="1"/>
  <c r="AF179" i="7" s="1"/>
</calcChain>
</file>

<file path=xl/sharedStrings.xml><?xml version="1.0" encoding="utf-8"?>
<sst xmlns="http://schemas.openxmlformats.org/spreadsheetml/2006/main" count="804" uniqueCount="405">
  <si>
    <t>LEGEND</t>
  </si>
  <si>
    <t>input only on gray cells only</t>
  </si>
  <si>
    <t>drop down values, select accordingly</t>
  </si>
  <si>
    <t>Fill this up first</t>
  </si>
  <si>
    <t>Steel Density</t>
  </si>
  <si>
    <r>
      <t>kg/m</t>
    </r>
    <r>
      <rPr>
        <b/>
        <vertAlign val="superscript"/>
        <sz val="10"/>
        <color theme="1"/>
        <rFont val="Arial Narrow"/>
        <family val="2"/>
      </rPr>
      <t>3</t>
    </r>
  </si>
  <si>
    <t>Concrete Cover</t>
  </si>
  <si>
    <t>mm</t>
  </si>
  <si>
    <t>Bar Length</t>
  </si>
  <si>
    <t>m</t>
  </si>
  <si>
    <t>Weight of tie wire box</t>
  </si>
  <si>
    <t>kg</t>
  </si>
  <si>
    <t>Tie wire total length</t>
  </si>
  <si>
    <t>Length of tie wire used</t>
  </si>
  <si>
    <t>Allowance for :</t>
  </si>
  <si>
    <t>Main Bars</t>
  </si>
  <si>
    <t>Volume</t>
  </si>
  <si>
    <t>Footing Calculation</t>
  </si>
  <si>
    <t># of Footing</t>
  </si>
  <si>
    <t>Footing Mark</t>
  </si>
  <si>
    <t>Dimension</t>
  </si>
  <si>
    <t>Along Length</t>
  </si>
  <si>
    <t>Along Width</t>
  </si>
  <si>
    <t>No. of tie wire</t>
  </si>
  <si>
    <r>
      <t>Volume (m</t>
    </r>
    <r>
      <rPr>
        <b/>
        <vertAlign val="superscript"/>
        <sz val="10"/>
        <color theme="1"/>
        <rFont val="Arial Narrow"/>
        <family val="2"/>
      </rPr>
      <t>3</t>
    </r>
    <r>
      <rPr>
        <b/>
        <sz val="10"/>
        <color theme="1"/>
        <rFont val="Arial Narrow"/>
        <family val="2"/>
      </rPr>
      <t>)</t>
    </r>
  </si>
  <si>
    <t>Formworks</t>
  </si>
  <si>
    <t>Weight (kg)</t>
  </si>
  <si>
    <t>Depth</t>
  </si>
  <si>
    <t>Length</t>
  </si>
  <si>
    <t>Width</t>
  </si>
  <si>
    <t>Thickness</t>
  </si>
  <si>
    <t>Bar Diameter</t>
  </si>
  <si>
    <t>Top Bars (pcs)</t>
  </si>
  <si>
    <t>Bot Bars (pcs)</t>
  </si>
  <si>
    <t>No. of Bars Along Length</t>
  </si>
  <si>
    <t>No. of Bars Along Width</t>
  </si>
  <si>
    <t>Perimeter</t>
  </si>
  <si>
    <r>
      <t>Area (m</t>
    </r>
    <r>
      <rPr>
        <b/>
        <vertAlign val="superscript"/>
        <sz val="10"/>
        <color theme="1"/>
        <rFont val="Arial Narrow"/>
        <family val="2"/>
      </rPr>
      <t>2</t>
    </r>
    <r>
      <rPr>
        <b/>
        <sz val="10"/>
        <color theme="1"/>
        <rFont val="Arial Narrow"/>
        <family val="2"/>
      </rPr>
      <t>)</t>
    </r>
  </si>
  <si>
    <t>F1</t>
  </si>
  <si>
    <t>Item</t>
  </si>
  <si>
    <t>Quantity</t>
  </si>
  <si>
    <t>Unit</t>
  </si>
  <si>
    <t>Footing</t>
  </si>
  <si>
    <t>lengths</t>
  </si>
  <si>
    <t xml:space="preserve">General </t>
  </si>
  <si>
    <t>Total Weight (kg)</t>
  </si>
  <si>
    <r>
      <t>Area for Formworks (m</t>
    </r>
    <r>
      <rPr>
        <b/>
        <vertAlign val="superscript"/>
        <sz val="10"/>
        <color theme="1"/>
        <rFont val="Arial Narrow"/>
        <family val="2"/>
      </rPr>
      <t>2</t>
    </r>
    <r>
      <rPr>
        <b/>
        <sz val="10"/>
        <color theme="1"/>
        <rFont val="Arial Narrow"/>
        <family val="2"/>
      </rPr>
      <t>)</t>
    </r>
  </si>
  <si>
    <t>input only on gray cells</t>
  </si>
  <si>
    <t>db</t>
  </si>
  <si>
    <t>Splice Factor</t>
  </si>
  <si>
    <t>Elevation</t>
  </si>
  <si>
    <t>Depth of Footing</t>
  </si>
  <si>
    <t>1st Floor Height</t>
  </si>
  <si>
    <t>2nd Floor Height</t>
  </si>
  <si>
    <t>Ties</t>
  </si>
  <si>
    <t>no. of ties</t>
  </si>
  <si>
    <t>spaced @</t>
  </si>
  <si>
    <t>rest</t>
  </si>
  <si>
    <t>Column Calculation</t>
  </si>
  <si>
    <t>Column Mark</t>
  </si>
  <si>
    <t># of Column (1st)</t>
  </si>
  <si>
    <t># of Column (2nd)</t>
  </si>
  <si>
    <t>Main Bar</t>
  </si>
  <si>
    <t>Column Ties</t>
  </si>
  <si>
    <t>Width (m)</t>
  </si>
  <si>
    <t>Height (m)</t>
  </si>
  <si>
    <t>No. of Bars (pcs)</t>
  </si>
  <si>
    <t xml:space="preserve">Bars Required </t>
  </si>
  <si>
    <t>Tie Perimeter</t>
  </si>
  <si>
    <t>No. of Ties</t>
  </si>
  <si>
    <t>no. of bars needed (ties)</t>
  </si>
  <si>
    <t>C1</t>
  </si>
  <si>
    <t>Column</t>
  </si>
  <si>
    <t>General</t>
  </si>
  <si>
    <t>Mainbars</t>
  </si>
  <si>
    <r>
      <t>Area for formworks (m</t>
    </r>
    <r>
      <rPr>
        <b/>
        <vertAlign val="superscript"/>
        <sz val="10"/>
        <color theme="1"/>
        <rFont val="Arial Narrow"/>
        <family val="2"/>
      </rPr>
      <t>2</t>
    </r>
    <r>
      <rPr>
        <b/>
        <sz val="10"/>
        <color theme="1"/>
        <rFont val="Arial Narrow"/>
        <family val="2"/>
      </rPr>
      <t>)</t>
    </r>
  </si>
  <si>
    <t>excess</t>
  </si>
  <si>
    <t>no of cuts per 1 bar</t>
  </si>
  <si>
    <t>top of footing to 1/2 height of 2nd floor</t>
  </si>
  <si>
    <t>total height</t>
  </si>
  <si>
    <t>P1</t>
  </si>
  <si>
    <t>Base Plate</t>
  </si>
  <si>
    <t xml:space="preserve">Stirrups </t>
  </si>
  <si>
    <t xml:space="preserve">Column Height From Footing </t>
  </si>
  <si>
    <t>no. of Main Bars (16mm)</t>
  </si>
  <si>
    <t>cuts per 6m bar</t>
  </si>
  <si>
    <t>Total Bars</t>
  </si>
  <si>
    <t>Kicker (20db)</t>
  </si>
  <si>
    <t>Stirrups</t>
  </si>
  <si>
    <t>perimeter</t>
  </si>
  <si>
    <t>Base</t>
  </si>
  <si>
    <t>Height</t>
  </si>
  <si>
    <t>No. of 10mm bars needed</t>
  </si>
  <si>
    <t>length</t>
  </si>
  <si>
    <t>Spacing</t>
  </si>
  <si>
    <t>SOG</t>
  </si>
  <si>
    <t>Total Bar Length</t>
  </si>
  <si>
    <t>2'' x 4'' x 1.5mm C-purlins (pcs)</t>
  </si>
  <si>
    <t>total no. 6'' B.I. Pipe Post (pcs)</t>
  </si>
  <si>
    <t>10mm sagrod (pcs)</t>
  </si>
  <si>
    <t>12mm Thick Triangular  Plate Welded Support (pcs)</t>
  </si>
  <si>
    <t>No. of Base Plate (pcs)</t>
  </si>
  <si>
    <t>20mm x 500mm  Anchor Bolts w/knot with washer (pcs)</t>
  </si>
  <si>
    <t>top chord</t>
  </si>
  <si>
    <t>bottom chord</t>
  </si>
  <si>
    <t>web members</t>
  </si>
  <si>
    <t>1L | 50x50x6mm</t>
  </si>
  <si>
    <t>vertical</t>
  </si>
  <si>
    <t>slant</t>
  </si>
  <si>
    <t>no. of panels</t>
  </si>
  <si>
    <t>Total Length</t>
  </si>
  <si>
    <t xml:space="preserve">no. of </t>
  </si>
  <si>
    <t>total length</t>
  </si>
  <si>
    <t>BB1</t>
  </si>
  <si>
    <t>BB2</t>
  </si>
  <si>
    <t>2L | 50x50x6mm</t>
  </si>
  <si>
    <t>2L | 40x40x5mm</t>
  </si>
  <si>
    <t>1L | 40x40x5mm</t>
  </si>
  <si>
    <t>to recheck</t>
  </si>
  <si>
    <t>box</t>
  </si>
  <si>
    <t>Unit Weight</t>
  </si>
  <si>
    <t>Weight needed</t>
  </si>
  <si>
    <r>
      <t>m</t>
    </r>
    <r>
      <rPr>
        <vertAlign val="superscript"/>
        <sz val="11"/>
        <color theme="1"/>
        <rFont val="Arial Narrow"/>
        <family val="2"/>
      </rPr>
      <t>3</t>
    </r>
  </si>
  <si>
    <r>
      <t>kg/m</t>
    </r>
    <r>
      <rPr>
        <vertAlign val="superscript"/>
        <sz val="11"/>
        <color theme="1"/>
        <rFont val="Arial Narrow"/>
        <family val="2"/>
      </rPr>
      <t>3</t>
    </r>
  </si>
  <si>
    <t>25mm thick non shrink grout (25kg/bags)</t>
  </si>
  <si>
    <t>Polycarbonate Corrugated Roof Sheet (0.9m/l.m)</t>
  </si>
  <si>
    <t>Ventilation Louvers</t>
  </si>
  <si>
    <t>Corrugated Metal Sheet on Steel Frame</t>
  </si>
  <si>
    <t>Corrugated Metal Sheet on Steel Frame (pcs)</t>
  </si>
  <si>
    <t>Ventilation Louvers (l.m)</t>
  </si>
  <si>
    <t>Ramp</t>
  </si>
  <si>
    <t>Area</t>
  </si>
  <si>
    <t>Steel</t>
  </si>
  <si>
    <t>No. of Bars Needed</t>
  </si>
  <si>
    <t>Along width</t>
  </si>
  <si>
    <t>landing</t>
  </si>
  <si>
    <t>running slope</t>
  </si>
  <si>
    <t>Hand Rails</t>
  </si>
  <si>
    <t>Hand Rails (l.m)</t>
  </si>
  <si>
    <t>NAME OF PROJECT</t>
  </si>
  <si>
    <t>:</t>
  </si>
  <si>
    <t>LOCATION</t>
  </si>
  <si>
    <t>OWNER</t>
  </si>
  <si>
    <t>DATE</t>
  </si>
  <si>
    <t>SUBJECT</t>
  </si>
  <si>
    <t>Bill of Quantities</t>
  </si>
  <si>
    <t xml:space="preserve">               2nd Floor, The Forum Building, Arch. Reyes Ave, Cebu City                   </t>
  </si>
  <si>
    <t>S/N</t>
  </si>
  <si>
    <t>DESCRIPTION</t>
  </si>
  <si>
    <t>MATERIALS</t>
  </si>
  <si>
    <t>MANPOWER</t>
  </si>
  <si>
    <t>QUANTITY</t>
  </si>
  <si>
    <t>UNIT</t>
  </si>
  <si>
    <t>UNIT COST</t>
  </si>
  <si>
    <t>TOTAL COST</t>
  </si>
  <si>
    <t>LABOR COST</t>
  </si>
  <si>
    <t>I</t>
  </si>
  <si>
    <t>GENERAL REQUIREMENTS</t>
  </si>
  <si>
    <t>LABOR</t>
  </si>
  <si>
    <t>QTY.</t>
  </si>
  <si>
    <t>TOTAL</t>
  </si>
  <si>
    <t>Mobilization / Demobilization (including gen. cleaning )</t>
  </si>
  <si>
    <t>lot</t>
  </si>
  <si>
    <t>E</t>
  </si>
  <si>
    <t>Utility Consumption (By Owner)</t>
  </si>
  <si>
    <t>Water Consumption (By Owner)</t>
  </si>
  <si>
    <t>Electricity Consumption (By Owner)</t>
  </si>
  <si>
    <t>CARI</t>
  </si>
  <si>
    <t>Supervision/ Project Management</t>
  </si>
  <si>
    <t>Hauling of OSM items</t>
  </si>
  <si>
    <t>Scaffolding &amp; Temp. Facilities</t>
  </si>
  <si>
    <t>Tools &amp; Equipment</t>
  </si>
  <si>
    <t>Transportation Expenses</t>
  </si>
  <si>
    <t>SUBTOTAL (GENERAL REQUIREMENTS):</t>
  </si>
  <si>
    <t>II</t>
  </si>
  <si>
    <t>DOCUMENTATION</t>
  </si>
  <si>
    <t>Government permit</t>
  </si>
  <si>
    <t>Building permit</t>
  </si>
  <si>
    <t>Occupancy permit</t>
  </si>
  <si>
    <t>Contractor's tax</t>
  </si>
  <si>
    <t>As-Built Plans (Architectural, Plumbing, Electrical)</t>
  </si>
  <si>
    <t>SUBTOTAL (DOCUMENTATION):</t>
  </si>
  <si>
    <t>LEGEND:</t>
  </si>
  <si>
    <t>OSM</t>
  </si>
  <si>
    <t>OWNER SUPPLIED MATERIAL; LABOR ONLY WITH CONSUMABLES</t>
  </si>
  <si>
    <t>LM</t>
  </si>
  <si>
    <t xml:space="preserve">LABOR AND MATERIALS </t>
  </si>
  <si>
    <t>EXCLUDED - By Owner</t>
  </si>
  <si>
    <t>III</t>
  </si>
  <si>
    <t>STRUCTURAL WORKS</t>
  </si>
  <si>
    <t>A</t>
  </si>
  <si>
    <t>EARTHWORKS</t>
  </si>
  <si>
    <t>Clearing and Grubbing</t>
  </si>
  <si>
    <t>sq.m</t>
  </si>
  <si>
    <t>Layout and Staking</t>
  </si>
  <si>
    <t>cu.m</t>
  </si>
  <si>
    <t>Excavation Works</t>
  </si>
  <si>
    <t>Backfilling woks</t>
  </si>
  <si>
    <t>Trimming and compaction</t>
  </si>
  <si>
    <t>Gravel Bedding</t>
  </si>
  <si>
    <t>SUBTOTAL (EARTHWORKS):</t>
  </si>
  <si>
    <t>B</t>
  </si>
  <si>
    <t>REBAR WORKS</t>
  </si>
  <si>
    <t>kgs.</t>
  </si>
  <si>
    <t>Columns</t>
  </si>
  <si>
    <t>Column ties</t>
  </si>
  <si>
    <t>CHB Laying</t>
  </si>
  <si>
    <t>Tie wire</t>
  </si>
  <si>
    <t>SUBTOTAL (REBAR WORKS):</t>
  </si>
  <si>
    <t>C</t>
  </si>
  <si>
    <t>FORMWORKS AND SCAFFOLD</t>
  </si>
  <si>
    <t>SUBTOTAL (FORMWORKS AND SCAFFOLD):</t>
  </si>
  <si>
    <t>D</t>
  </si>
  <si>
    <t>CONCRETING WORKS</t>
  </si>
  <si>
    <t>Footing (3000psi)</t>
  </si>
  <si>
    <t>Columns (3000psi)</t>
  </si>
  <si>
    <t>Other charges for pumpcrete/line pump</t>
  </si>
  <si>
    <t>SUBTOTAL (CONCRETING WORKS):</t>
  </si>
  <si>
    <t>MASONRY WORKS</t>
  </si>
  <si>
    <t>SUBTOTAL (MASONRY WORKS):</t>
  </si>
  <si>
    <t>F</t>
  </si>
  <si>
    <t>STEEL AND ROOFING WORKS</t>
  </si>
  <si>
    <t>a.</t>
  </si>
  <si>
    <t>pcs</t>
  </si>
  <si>
    <t>b.</t>
  </si>
  <si>
    <t>c.</t>
  </si>
  <si>
    <t>d.</t>
  </si>
  <si>
    <t>e.</t>
  </si>
  <si>
    <t>f.</t>
  </si>
  <si>
    <t>10 mmØ Round Bar for sagrods and nuts</t>
  </si>
  <si>
    <t>g.</t>
  </si>
  <si>
    <t>h.</t>
  </si>
  <si>
    <t>k.</t>
  </si>
  <si>
    <t>Roof Gutter</t>
  </si>
  <si>
    <t>l.m</t>
  </si>
  <si>
    <t>o.</t>
  </si>
  <si>
    <t>Consumables</t>
  </si>
  <si>
    <t>SUBTOTAL (ROOFING WORKS):</t>
  </si>
  <si>
    <t>ARCHITECTURAL WORKS</t>
  </si>
  <si>
    <t>GENERAL WORKS</t>
  </si>
  <si>
    <t>FLOOR FINISHES</t>
  </si>
  <si>
    <t>SUBTOTAL (FLOOR FINISHES):</t>
  </si>
  <si>
    <t>WALL FINISHES</t>
  </si>
  <si>
    <t>Carpentry Works</t>
  </si>
  <si>
    <t>Masonry Works</t>
  </si>
  <si>
    <t>Painting Works</t>
  </si>
  <si>
    <t>SUBTOTAL (WALL FINISHES):</t>
  </si>
  <si>
    <t>CEILING WORKS</t>
  </si>
  <si>
    <t>SUBTOTAL (CEILING WORKS):</t>
  </si>
  <si>
    <t>CABINETRY WORKS</t>
  </si>
  <si>
    <t>SUBTOTAL (CABINETRY WORKS):</t>
  </si>
  <si>
    <t>GLASS AND GLAZING</t>
  </si>
  <si>
    <t>SUBTOTAL (GLASS AND GLAZING):</t>
  </si>
  <si>
    <t>DOORS</t>
  </si>
  <si>
    <t>SUBTOTAL (DOORS):</t>
  </si>
  <si>
    <t>IV</t>
  </si>
  <si>
    <t>ELECTRICAL WORKS</t>
  </si>
  <si>
    <t>Panel Board and Breakers</t>
  </si>
  <si>
    <t>Electrical Conduit</t>
  </si>
  <si>
    <t>Electrical Wires</t>
  </si>
  <si>
    <t>Electrical Fixtures</t>
  </si>
  <si>
    <t>Power Outlets</t>
  </si>
  <si>
    <t>Electrical Devices</t>
  </si>
  <si>
    <t>SUBTOTAL (ELECTRICAL WORKS):</t>
  </si>
  <si>
    <t>V</t>
  </si>
  <si>
    <t>PLUMBING WORKS</t>
  </si>
  <si>
    <t>Plumbing Lines</t>
  </si>
  <si>
    <t>Plumbing Fixtures and Equipments</t>
  </si>
  <si>
    <t>SUBTOTAL (PLUMBING WORKS):</t>
  </si>
  <si>
    <t>VI</t>
  </si>
  <si>
    <t>MECHANICAL WORKS</t>
  </si>
  <si>
    <t>SPRINKLER</t>
  </si>
  <si>
    <t>heads</t>
  </si>
  <si>
    <t>SUBTOTAL (SPRINKLER):</t>
  </si>
  <si>
    <t>DUCTING</t>
  </si>
  <si>
    <t>SUBTOTAL (DUCTING):</t>
  </si>
  <si>
    <t>FIRE SUPPRESSION SYSTEM AND GAS LEAK DETECTION SYSTEM</t>
  </si>
  <si>
    <t>Leak Detection System</t>
  </si>
  <si>
    <t>SUBTOTAL (FIRE SUPPRESSION SYSTEM):</t>
  </si>
  <si>
    <t>INSTALLATION OF LPG PIPELINE AND APPURTANCES</t>
  </si>
  <si>
    <t>SUBTOTAL (LPG PIPELINE):</t>
  </si>
  <si>
    <t>VII</t>
  </si>
  <si>
    <t>AUXILIARY WORKS</t>
  </si>
  <si>
    <t>FIRE DETECTION AND ALARM SYSTEM</t>
  </si>
  <si>
    <t>SUBTOTAL (SMOKE DETECTOR ):</t>
  </si>
  <si>
    <t>CCTV</t>
  </si>
  <si>
    <t>SUBTOTAL (CCTV ):</t>
  </si>
  <si>
    <t>SPEAKER SYSTEM</t>
  </si>
  <si>
    <t>SUBTOTAL (SPEAKER SYSTEM):</t>
  </si>
  <si>
    <t>TOTAL:</t>
  </si>
  <si>
    <t>SUMMARY OF COST</t>
  </si>
  <si>
    <t>TOTAL AMOUNT</t>
  </si>
  <si>
    <t>I.</t>
  </si>
  <si>
    <t>CONTRACT PRICE</t>
  </si>
  <si>
    <t>III.</t>
  </si>
  <si>
    <t>TOTAL DIRECT COST</t>
  </si>
  <si>
    <t>General Works</t>
  </si>
  <si>
    <t>MARGIN</t>
  </si>
  <si>
    <t>Floor Finishes</t>
  </si>
  <si>
    <t>PROFIT MARGIN%</t>
  </si>
  <si>
    <t>Wall Finishes</t>
  </si>
  <si>
    <t>Ceiling works</t>
  </si>
  <si>
    <t xml:space="preserve">d. </t>
  </si>
  <si>
    <t>Cabinetry works</t>
  </si>
  <si>
    <t>Glass and Glazing</t>
  </si>
  <si>
    <t>Doors</t>
  </si>
  <si>
    <t>IV.</t>
  </si>
  <si>
    <t>V.</t>
  </si>
  <si>
    <t>VI.</t>
  </si>
  <si>
    <t>Sprinkler</t>
  </si>
  <si>
    <t>Ducting</t>
  </si>
  <si>
    <t xml:space="preserve">c. </t>
  </si>
  <si>
    <t>Fire Suppression System</t>
  </si>
  <si>
    <t>LPG Pipeline</t>
  </si>
  <si>
    <t>VII.</t>
  </si>
  <si>
    <t xml:space="preserve">a. </t>
  </si>
  <si>
    <t>Fire Detection and Alarm System</t>
  </si>
  <si>
    <t xml:space="preserve">b. </t>
  </si>
  <si>
    <t>Speaker System</t>
  </si>
  <si>
    <t>TOTAL LABOR AND MATERIAL COST</t>
  </si>
  <si>
    <t>Cost Summary:</t>
  </si>
  <si>
    <t>Total Material Cost:</t>
  </si>
  <si>
    <t>Terms of Payment</t>
  </si>
  <si>
    <t>Total Labor Cost:</t>
  </si>
  <si>
    <t>50% DP</t>
  </si>
  <si>
    <t xml:space="preserve">Direct Cost for Mat. &amp; Labor: </t>
  </si>
  <si>
    <t>40 % Weekly Progress Billing</t>
  </si>
  <si>
    <t>Total Cost of General Requirements</t>
  </si>
  <si>
    <t>10% Retention</t>
  </si>
  <si>
    <t>Total Cost of Documentation</t>
  </si>
  <si>
    <t>Mark-up and Overhead:</t>
  </si>
  <si>
    <t>Contingency (5%):</t>
  </si>
  <si>
    <t>VAT (12%):</t>
  </si>
  <si>
    <t>GRAND TOTAL:</t>
  </si>
  <si>
    <t>Prepared by:</t>
  </si>
  <si>
    <t>Approved By:</t>
  </si>
  <si>
    <t>_________________________________</t>
  </si>
  <si>
    <t xml:space="preserve">  RSTEKTONIC DEVELOPMENT INC.</t>
  </si>
  <si>
    <t>300mm x 300mm x 16mm THK. Base Plate</t>
  </si>
  <si>
    <t>350mm x 350mm x 16mm THK. Base Plate</t>
  </si>
  <si>
    <t>2'' x 4'' x 1.5mm C-purlins</t>
  </si>
  <si>
    <t>20mmØ x 500mm  Anchor Bolts w/knot with washer</t>
  </si>
  <si>
    <t>1L - 50x50x6mm</t>
  </si>
  <si>
    <t>1L | 50x50x6mm (lengths)</t>
  </si>
  <si>
    <t>1L | 40x40x5mm (lengths)</t>
  </si>
  <si>
    <t>1L - 40x40x5mm</t>
  </si>
  <si>
    <t>bags</t>
  </si>
  <si>
    <t>Masonry</t>
  </si>
  <si>
    <t>Vertical (m)</t>
  </si>
  <si>
    <t>Horizontal (m)</t>
  </si>
  <si>
    <t>Bars Needed</t>
  </si>
  <si>
    <t>Cr 2 Wall Area</t>
  </si>
  <si>
    <t>Length of Bars (m)</t>
  </si>
  <si>
    <r>
      <t>Excavation Work (m</t>
    </r>
    <r>
      <rPr>
        <b/>
        <vertAlign val="superscript"/>
        <sz val="10"/>
        <color theme="1"/>
        <rFont val="Arial Narrow"/>
        <family val="2"/>
      </rPr>
      <t>3)</t>
    </r>
  </si>
  <si>
    <r>
      <t>Backfilling Works (m</t>
    </r>
    <r>
      <rPr>
        <b/>
        <vertAlign val="superscript"/>
        <sz val="10"/>
        <color theme="1"/>
        <rFont val="Arial Narrow"/>
        <family val="2"/>
      </rPr>
      <t>3</t>
    </r>
    <r>
      <rPr>
        <b/>
        <sz val="10"/>
        <color theme="1"/>
        <rFont val="Arial Narrow"/>
        <family val="2"/>
      </rPr>
      <t>)</t>
    </r>
  </si>
  <si>
    <t>600mm x 600mm Homogeneous Floor Tiles</t>
  </si>
  <si>
    <t>600mm x 600mm Homogeneous Wall Tiles</t>
  </si>
  <si>
    <t>Non Shrink Grout (25kg)</t>
  </si>
  <si>
    <t>i.</t>
  </si>
  <si>
    <t>j.</t>
  </si>
  <si>
    <t>l.</t>
  </si>
  <si>
    <t>m.</t>
  </si>
  <si>
    <t>n.</t>
  </si>
  <si>
    <t>p.</t>
  </si>
  <si>
    <t>AAC Blocks</t>
  </si>
  <si>
    <t>Gravel bedding 50mm thk.</t>
  </si>
  <si>
    <t>Concrete Proportion</t>
  </si>
  <si>
    <t>Class</t>
  </si>
  <si>
    <t>Mixture</t>
  </si>
  <si>
    <t>Cement</t>
  </si>
  <si>
    <t>40 kg/bag</t>
  </si>
  <si>
    <t>50kg/bag</t>
  </si>
  <si>
    <t>Sand (cu.m)</t>
  </si>
  <si>
    <t>Gravel (cu.m)</t>
  </si>
  <si>
    <t>AA</t>
  </si>
  <si>
    <t>1 ; 2 ; 4</t>
  </si>
  <si>
    <t>Cement (Bag)</t>
  </si>
  <si>
    <t>Bag Weight</t>
  </si>
  <si>
    <t>Cement Mortar</t>
  </si>
  <si>
    <t>White cement joint filler</t>
  </si>
  <si>
    <t>Tile adhesive</t>
  </si>
  <si>
    <t>bags per sq.m</t>
  </si>
  <si>
    <t>Bags needed</t>
  </si>
  <si>
    <t>Allowance</t>
  </si>
  <si>
    <t>kicker | L Hook</t>
  </si>
  <si>
    <t>Water per cu.m of concrete (L)</t>
  </si>
  <si>
    <t>Water (L)</t>
  </si>
  <si>
    <t>1 ; 1 1/2 ; 3</t>
  </si>
  <si>
    <t>1 ; 2 1/2 ; 5</t>
  </si>
  <si>
    <t>1  ; 3 ; 5</t>
  </si>
  <si>
    <t>1 Set</t>
  </si>
  <si>
    <t>2 Set</t>
  </si>
  <si>
    <t>Set of Ties</t>
  </si>
  <si>
    <t>6'' B.I. Pipe Post</t>
  </si>
  <si>
    <t>subject for change</t>
  </si>
  <si>
    <t>Polycarbonate SkyLight Roof Sheet SkyLight - 0.9m</t>
  </si>
  <si>
    <t>sheets</t>
  </si>
  <si>
    <t>Pre-Painted Ribbed Type 0.5mm THK</t>
  </si>
  <si>
    <t>12mm Thick Stiffiner Plate</t>
  </si>
  <si>
    <r>
      <t xml:space="preserve">                                 </t>
    </r>
    <r>
      <rPr>
        <b/>
        <sz val="9"/>
        <color theme="1"/>
        <rFont val="Arial Narrow"/>
        <family val="2"/>
      </rPr>
      <t xml:space="preserve">                                        </t>
    </r>
  </si>
  <si>
    <r>
      <t xml:space="preserve">       </t>
    </r>
    <r>
      <rPr>
        <b/>
        <u/>
        <sz val="10"/>
        <color theme="1"/>
        <rFont val="Arial Narrow"/>
        <family val="2"/>
      </rPr>
      <t>AR. REY ALBERT DAUZ</t>
    </r>
  </si>
  <si>
    <t>TOTAL MATERIALS</t>
  </si>
  <si>
    <t>TOTAL LABOR</t>
  </si>
  <si>
    <t>DC (Labor +Mat)</t>
  </si>
  <si>
    <t>TOTAL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</si>
</sst>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0.0"/>
    <numFmt numFmtId="165" formatCode="0.000"/>
    <numFmt numFmtId="166" formatCode="[$-409]mmmm\ d\,\ yyyy;@"/>
    <numFmt numFmtId="167" formatCode="_(* #,##0.00_);_(* \(#,##0.00\);_(* &quot;-&quot;??_);_(@_)"/>
    <numFmt numFmtId="168" formatCode="&quot;₱&quot;#,##0.00"/>
    <numFmt numFmtId="169" formatCode="#,##0.0000_);\(#,##0.0000\)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rgb="FFFF0000"/>
      <name val="Arial Narrow"/>
      <family val="2"/>
    </font>
    <font>
      <b/>
      <vertAlign val="superscript"/>
      <sz val="10"/>
      <color theme="1"/>
      <name val="Arial Narrow"/>
      <family val="2"/>
    </font>
    <font>
      <b/>
      <sz val="10"/>
      <color rgb="FFFF0000"/>
      <name val="Arial Narrow"/>
      <family val="2"/>
    </font>
    <font>
      <i/>
      <sz val="8"/>
      <color rgb="FFFF0000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i/>
      <sz val="10"/>
      <color theme="1"/>
      <name val="Arial Narrow"/>
      <family val="2"/>
    </font>
    <font>
      <i/>
      <sz val="11"/>
      <color theme="1"/>
      <name val="Arial Narrow"/>
      <family val="2"/>
    </font>
    <font>
      <sz val="8"/>
      <color rgb="FFFF0000"/>
      <name val="Arial Narrow"/>
      <family val="2"/>
    </font>
    <font>
      <sz val="11"/>
      <color theme="1"/>
      <name val="Calibri"/>
      <family val="2"/>
      <scheme val="minor"/>
    </font>
    <font>
      <sz val="11"/>
      <color rgb="FFFF0000"/>
      <name val="Arial Narrow"/>
      <family val="2"/>
    </font>
    <font>
      <vertAlign val="superscript"/>
      <sz val="11"/>
      <color theme="1"/>
      <name val="Arial Narrow"/>
      <family val="2"/>
    </font>
    <font>
      <sz val="9"/>
      <name val="Arial Narrow"/>
      <family val="2"/>
    </font>
    <font>
      <b/>
      <sz val="10"/>
      <name val="Arial Narrow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rgb="FFFF0000"/>
      <name val="Arial Narrow"/>
      <family val="2"/>
    </font>
    <font>
      <b/>
      <i/>
      <sz val="11"/>
      <color theme="1"/>
      <name val="Arial Narrow"/>
      <family val="2"/>
    </font>
    <font>
      <sz val="10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9.5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9.5"/>
      <name val="Arial Narrow"/>
      <family val="2"/>
    </font>
    <font>
      <sz val="9.5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9"/>
      <color rgb="FFFF0000"/>
      <name val="Arial Narrow"/>
      <family val="2"/>
    </font>
    <font>
      <sz val="7"/>
      <color theme="1"/>
      <name val="Arial Narrow"/>
      <family val="2"/>
    </font>
    <font>
      <b/>
      <sz val="9"/>
      <name val="Arial Narrow"/>
      <family val="2"/>
    </font>
    <font>
      <i/>
      <sz val="9.5"/>
      <color theme="1"/>
      <name val="Arial Narrow"/>
      <family val="2"/>
    </font>
    <font>
      <b/>
      <u/>
      <sz val="10"/>
      <color theme="1"/>
      <name val="Arial Narrow"/>
      <family val="2"/>
    </font>
    <font>
      <sz val="12"/>
      <color theme="1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5"/>
        <bgColor indexed="64"/>
      </patternFill>
    </fill>
    <fill>
      <patternFill patternType="solid">
        <fgColor rgb="FFD3A5B0"/>
        <bgColor indexed="64"/>
      </patternFill>
    </fill>
    <fill>
      <patternFill patternType="solid">
        <fgColor rgb="FFFF999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9" fillId="0" borderId="0"/>
  </cellStyleXfs>
  <cellXfs count="5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2" fontId="16" fillId="14" borderId="30" xfId="0" applyNumberFormat="1" applyFont="1" applyFill="1" applyBorder="1" applyAlignment="1">
      <alignment horizontal="center" vertical="center"/>
    </xf>
    <xf numFmtId="2" fontId="16" fillId="14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9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2" fontId="16" fillId="15" borderId="17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3" borderId="14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12" fontId="0" fillId="0" borderId="0" xfId="0" applyNumberFormat="1"/>
    <xf numFmtId="0" fontId="17" fillId="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43" fontId="1" fillId="13" borderId="1" xfId="0" applyNumberFormat="1" applyFont="1" applyFill="1" applyBorder="1" applyAlignment="1">
      <alignment horizontal="right" vertical="center"/>
    </xf>
    <xf numFmtId="43" fontId="22" fillId="1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24" fillId="0" borderId="17" xfId="0" applyFont="1" applyBorder="1"/>
    <xf numFmtId="2" fontId="1" fillId="0" borderId="17" xfId="0" applyNumberFormat="1" applyFont="1" applyBorder="1"/>
    <xf numFmtId="0" fontId="1" fillId="0" borderId="0" xfId="0" applyFont="1" applyAlignment="1">
      <alignment horizontal="right"/>
    </xf>
    <xf numFmtId="4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4" fillId="0" borderId="4" xfId="0" applyFont="1" applyBorder="1"/>
    <xf numFmtId="2" fontId="1" fillId="0" borderId="4" xfId="0" applyNumberFormat="1" applyFont="1" applyBorder="1"/>
    <xf numFmtId="43" fontId="25" fillId="0" borderId="4" xfId="1" applyFont="1" applyBorder="1" applyAlignment="1"/>
    <xf numFmtId="2" fontId="26" fillId="0" borderId="4" xfId="1" applyNumberFormat="1" applyFont="1" applyBorder="1" applyAlignment="1"/>
    <xf numFmtId="0" fontId="2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2" fontId="1" fillId="0" borderId="0" xfId="0" applyNumberFormat="1" applyFont="1"/>
    <xf numFmtId="43" fontId="2" fillId="0" borderId="1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43" fontId="2" fillId="0" borderId="14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43" fontId="1" fillId="0" borderId="19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7" xfId="0" applyFont="1" applyBorder="1" applyAlignment="1">
      <alignment horizontal="right" vertical="center"/>
    </xf>
    <xf numFmtId="164" fontId="26" fillId="0" borderId="27" xfId="0" applyNumberFormat="1" applyFont="1" applyBorder="1" applyAlignment="1">
      <alignment horizontal="center"/>
    </xf>
    <xf numFmtId="4" fontId="1" fillId="0" borderId="1" xfId="0" applyNumberFormat="1" applyFont="1" applyBorder="1"/>
    <xf numFmtId="0" fontId="27" fillId="0" borderId="1" xfId="0" applyFont="1" applyBorder="1" applyAlignment="1">
      <alignment horizontal="right" vertical="center" wrapText="1"/>
    </xf>
    <xf numFmtId="43" fontId="26" fillId="13" borderId="0" xfId="0" applyNumberFormat="1" applyFont="1" applyFill="1" applyAlignment="1">
      <alignment horizontal="center"/>
    </xf>
    <xf numFmtId="43" fontId="26" fillId="0" borderId="29" xfId="1" applyFont="1" applyBorder="1" applyAlignment="1">
      <alignment horizontal="center"/>
    </xf>
    <xf numFmtId="9" fontId="26" fillId="13" borderId="0" xfId="0" applyNumberFormat="1" applyFont="1" applyFill="1" applyAlignment="1">
      <alignment horizontal="center"/>
    </xf>
    <xf numFmtId="43" fontId="26" fillId="13" borderId="0" xfId="0" applyNumberFormat="1" applyFont="1" applyFill="1"/>
    <xf numFmtId="43" fontId="26" fillId="13" borderId="29" xfId="1" applyFont="1" applyFill="1" applyBorder="1" applyAlignment="1"/>
    <xf numFmtId="9" fontId="26" fillId="13" borderId="0" xfId="0" applyNumberFormat="1" applyFont="1" applyFill="1" applyAlignment="1">
      <alignment horizontal="center" vertical="center"/>
    </xf>
    <xf numFmtId="43" fontId="26" fillId="13" borderId="1" xfId="1" applyFont="1" applyFill="1" applyBorder="1" applyAlignment="1">
      <alignment horizontal="center"/>
    </xf>
    <xf numFmtId="2" fontId="1" fillId="14" borderId="5" xfId="0" applyNumberFormat="1" applyFont="1" applyFill="1" applyBorder="1" applyAlignment="1">
      <alignment horizontal="right"/>
    </xf>
    <xf numFmtId="0" fontId="1" fillId="14" borderId="1" xfId="0" applyFont="1" applyFill="1" applyBorder="1" applyAlignment="1">
      <alignment horizontal="right"/>
    </xf>
    <xf numFmtId="43" fontId="1" fillId="14" borderId="1" xfId="0" applyNumberFormat="1" applyFont="1" applyFill="1" applyBorder="1" applyAlignment="1">
      <alignment horizontal="right" vertical="center"/>
    </xf>
    <xf numFmtId="43" fontId="1" fillId="14" borderId="3" xfId="0" applyNumberFormat="1" applyFont="1" applyFill="1" applyBorder="1" applyAlignment="1">
      <alignment horizontal="right" vertical="center"/>
    </xf>
    <xf numFmtId="43" fontId="26" fillId="0" borderId="0" xfId="0" applyNumberFormat="1" applyFont="1" applyAlignment="1">
      <alignment horizontal="center"/>
    </xf>
    <xf numFmtId="9" fontId="26" fillId="0" borderId="0" xfId="0" applyNumberFormat="1" applyFont="1" applyAlignment="1">
      <alignment horizontal="center"/>
    </xf>
    <xf numFmtId="43" fontId="26" fillId="0" borderId="0" xfId="0" applyNumberFormat="1" applyFont="1"/>
    <xf numFmtId="43" fontId="26" fillId="0" borderId="29" xfId="1" applyFont="1" applyBorder="1" applyAlignment="1"/>
    <xf numFmtId="9" fontId="26" fillId="0" borderId="0" xfId="0" applyNumberFormat="1" applyFont="1" applyAlignment="1">
      <alignment horizontal="center" vertical="center"/>
    </xf>
    <xf numFmtId="43" fontId="26" fillId="0" borderId="1" xfId="0" applyNumberFormat="1" applyFont="1" applyBorder="1" applyAlignment="1">
      <alignment vertical="center"/>
    </xf>
    <xf numFmtId="164" fontId="23" fillId="13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2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6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43" fontId="17" fillId="3" borderId="4" xfId="0" applyNumberFormat="1" applyFont="1" applyFill="1" applyBorder="1" applyAlignment="1">
      <alignment horizontal="right"/>
    </xf>
    <xf numFmtId="43" fontId="17" fillId="3" borderId="1" xfId="0" applyNumberFormat="1" applyFont="1" applyFill="1" applyBorder="1" applyAlignment="1">
      <alignment horizontal="right"/>
    </xf>
    <xf numFmtId="43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43" fontId="1" fillId="0" borderId="1" xfId="0" applyNumberFormat="1" applyFont="1" applyBorder="1" applyAlignment="1">
      <alignment horizontal="right" vertical="center"/>
    </xf>
    <xf numFmtId="43" fontId="22" fillId="0" borderId="1" xfId="0" applyNumberFormat="1" applyFont="1" applyBorder="1" applyAlignment="1">
      <alignment horizontal="right" vertical="center"/>
    </xf>
    <xf numFmtId="164" fontId="29" fillId="0" borderId="15" xfId="0" applyNumberFormat="1" applyFont="1" applyBorder="1" applyAlignment="1">
      <alignment horizontal="center" wrapText="1"/>
    </xf>
    <xf numFmtId="2" fontId="1" fillId="0" borderId="5" xfId="0" applyNumberFormat="1" applyFont="1" applyBorder="1" applyAlignment="1">
      <alignment horizontal="right"/>
    </xf>
    <xf numFmtId="43" fontId="1" fillId="0" borderId="3" xfId="0" applyNumberFormat="1" applyFont="1" applyBorder="1" applyAlignment="1">
      <alignment horizontal="right" vertical="center"/>
    </xf>
    <xf numFmtId="43" fontId="26" fillId="0" borderId="1" xfId="1" applyFont="1" applyFill="1" applyBorder="1" applyAlignment="1"/>
    <xf numFmtId="0" fontId="26" fillId="0" borderId="3" xfId="0" applyFont="1" applyBorder="1" applyAlignment="1">
      <alignment horizontal="center"/>
    </xf>
    <xf numFmtId="43" fontId="26" fillId="13" borderId="0" xfId="1" applyFont="1" applyFill="1" applyBorder="1" applyAlignment="1">
      <alignment horizontal="center"/>
    </xf>
    <xf numFmtId="0" fontId="1" fillId="13" borderId="0" xfId="0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vertical="center"/>
    </xf>
    <xf numFmtId="0" fontId="2" fillId="13" borderId="31" xfId="0" applyFont="1" applyFill="1" applyBorder="1" applyAlignment="1">
      <alignment horizontal="left" vertical="center"/>
    </xf>
    <xf numFmtId="43" fontId="2" fillId="13" borderId="31" xfId="0" applyNumberFormat="1" applyFont="1" applyFill="1" applyBorder="1" applyAlignment="1">
      <alignment horizontal="right"/>
    </xf>
    <xf numFmtId="43" fontId="17" fillId="13" borderId="31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2" fillId="13" borderId="0" xfId="0" applyFont="1" applyFill="1" applyAlignment="1">
      <alignment horizontal="left" vertical="center"/>
    </xf>
    <xf numFmtId="43" fontId="2" fillId="13" borderId="0" xfId="0" applyNumberFormat="1" applyFont="1" applyFill="1" applyAlignment="1">
      <alignment horizontal="right"/>
    </xf>
    <xf numFmtId="43" fontId="17" fillId="13" borderId="0" xfId="0" applyNumberFormat="1" applyFont="1" applyFill="1" applyAlignment="1">
      <alignment horizontal="right" vertical="center"/>
    </xf>
    <xf numFmtId="43" fontId="2" fillId="13" borderId="0" xfId="0" applyNumberFormat="1" applyFont="1" applyFill="1" applyAlignment="1">
      <alignment horizontal="right" vertical="center"/>
    </xf>
    <xf numFmtId="0" fontId="25" fillId="0" borderId="17" xfId="0" applyFont="1" applyBorder="1" applyAlignment="1">
      <alignment horizontal="left" vertical="center"/>
    </xf>
    <xf numFmtId="0" fontId="25" fillId="0" borderId="17" xfId="0" applyFont="1" applyBorder="1" applyAlignment="1">
      <alignment horizontal="left"/>
    </xf>
    <xf numFmtId="0" fontId="2" fillId="13" borderId="17" xfId="0" applyFont="1" applyFill="1" applyBorder="1" applyAlignment="1">
      <alignment horizontal="left"/>
    </xf>
    <xf numFmtId="0" fontId="2" fillId="13" borderId="17" xfId="0" applyFont="1" applyFill="1" applyBorder="1" applyAlignment="1">
      <alignment horizontal="left" vertical="center"/>
    </xf>
    <xf numFmtId="43" fontId="2" fillId="13" borderId="17" xfId="0" applyNumberFormat="1" applyFont="1" applyFill="1" applyBorder="1" applyAlignment="1">
      <alignment horizontal="right" vertical="center"/>
    </xf>
    <xf numFmtId="43" fontId="17" fillId="13" borderId="17" xfId="0" applyNumberFormat="1" applyFont="1" applyFill="1" applyBorder="1" applyAlignment="1">
      <alignment horizontal="right" vertical="center"/>
    </xf>
    <xf numFmtId="43" fontId="29" fillId="0" borderId="17" xfId="0" applyNumberFormat="1" applyFont="1" applyBorder="1" applyAlignment="1">
      <alignment horizontal="center"/>
    </xf>
    <xf numFmtId="0" fontId="17" fillId="0" borderId="15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43" fontId="1" fillId="0" borderId="18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/>
    </xf>
    <xf numFmtId="164" fontId="29" fillId="0" borderId="3" xfId="0" applyNumberFormat="1" applyFont="1" applyBorder="1" applyAlignment="1">
      <alignment horizontal="center"/>
    </xf>
    <xf numFmtId="0" fontId="23" fillId="0" borderId="32" xfId="0" applyFont="1" applyBorder="1"/>
    <xf numFmtId="0" fontId="23" fillId="0" borderId="33" xfId="0" applyFont="1" applyBorder="1"/>
    <xf numFmtId="0" fontId="23" fillId="0" borderId="34" xfId="0" applyFont="1" applyBorder="1"/>
    <xf numFmtId="0" fontId="23" fillId="0" borderId="4" xfId="0" applyFont="1" applyBorder="1"/>
    <xf numFmtId="0" fontId="23" fillId="0" borderId="5" xfId="0" applyFont="1" applyBorder="1"/>
    <xf numFmtId="2" fontId="31" fillId="0" borderId="1" xfId="0" applyNumberFormat="1" applyFont="1" applyBorder="1" applyAlignment="1">
      <alignment horizontal="right" wrapText="1"/>
    </xf>
    <xf numFmtId="0" fontId="27" fillId="0" borderId="1" xfId="0" applyFont="1" applyBorder="1" applyAlignment="1">
      <alignment horizontal="right" wrapText="1"/>
    </xf>
    <xf numFmtId="43" fontId="26" fillId="13" borderId="29" xfId="1" applyFont="1" applyFill="1" applyBorder="1" applyAlignment="1">
      <alignment horizontal="center"/>
    </xf>
    <xf numFmtId="0" fontId="23" fillId="0" borderId="3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" fillId="13" borderId="15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center"/>
    </xf>
    <xf numFmtId="0" fontId="1" fillId="0" borderId="31" xfId="0" applyFont="1" applyBorder="1"/>
    <xf numFmtId="43" fontId="17" fillId="3" borderId="31" xfId="0" applyNumberFormat="1" applyFont="1" applyFill="1" applyBorder="1" applyAlignment="1">
      <alignment horizontal="right"/>
    </xf>
    <xf numFmtId="43" fontId="17" fillId="3" borderId="14" xfId="0" applyNumberFormat="1" applyFont="1" applyFill="1" applyBorder="1" applyAlignment="1">
      <alignment horizontal="right" vertical="center"/>
    </xf>
    <xf numFmtId="2" fontId="32" fillId="0" borderId="1" xfId="0" applyNumberFormat="1" applyFont="1" applyBorder="1" applyAlignment="1">
      <alignment horizontal="right"/>
    </xf>
    <xf numFmtId="164" fontId="29" fillId="0" borderId="27" xfId="0" applyNumberFormat="1" applyFont="1" applyBorder="1" applyAlignment="1">
      <alignment horizontal="center"/>
    </xf>
    <xf numFmtId="0" fontId="23" fillId="0" borderId="35" xfId="0" applyFont="1" applyBorder="1"/>
    <xf numFmtId="0" fontId="23" fillId="0" borderId="36" xfId="0" applyFont="1" applyBorder="1"/>
    <xf numFmtId="0" fontId="23" fillId="0" borderId="17" xfId="0" applyFont="1" applyBorder="1"/>
    <xf numFmtId="0" fontId="23" fillId="0" borderId="28" xfId="0" applyFont="1" applyBorder="1"/>
    <xf numFmtId="0" fontId="27" fillId="0" borderId="2" xfId="0" applyFont="1" applyBorder="1" applyAlignment="1">
      <alignment horizontal="right" wrapText="1"/>
    </xf>
    <xf numFmtId="43" fontId="1" fillId="13" borderId="2" xfId="0" applyNumberFormat="1" applyFont="1" applyFill="1" applyBorder="1" applyAlignment="1">
      <alignment horizontal="right" vertical="center"/>
    </xf>
    <xf numFmtId="43" fontId="22" fillId="13" borderId="2" xfId="0" applyNumberFormat="1" applyFont="1" applyFill="1" applyBorder="1" applyAlignment="1">
      <alignment horizontal="right" vertical="center"/>
    </xf>
    <xf numFmtId="43" fontId="26" fillId="0" borderId="29" xfId="1" applyFont="1" applyFill="1" applyBorder="1" applyAlignment="1"/>
    <xf numFmtId="0" fontId="6" fillId="0" borderId="5" xfId="0" applyFont="1" applyBorder="1"/>
    <xf numFmtId="0" fontId="23" fillId="16" borderId="32" xfId="0" applyFont="1" applyFill="1" applyBorder="1"/>
    <xf numFmtId="0" fontId="12" fillId="0" borderId="5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right" wrapText="1"/>
    </xf>
    <xf numFmtId="164" fontId="29" fillId="13" borderId="27" xfId="0" applyNumberFormat="1" applyFont="1" applyFill="1" applyBorder="1" applyAlignment="1">
      <alignment horizontal="center"/>
    </xf>
    <xf numFmtId="0" fontId="33" fillId="0" borderId="5" xfId="0" applyFont="1" applyBorder="1"/>
    <xf numFmtId="2" fontId="23" fillId="0" borderId="5" xfId="0" applyNumberFormat="1" applyFont="1" applyBorder="1"/>
    <xf numFmtId="0" fontId="12" fillId="0" borderId="28" xfId="0" applyFont="1" applyBorder="1" applyAlignment="1"/>
    <xf numFmtId="0" fontId="1" fillId="0" borderId="15" xfId="0" applyFont="1" applyBorder="1"/>
    <xf numFmtId="43" fontId="2" fillId="0" borderId="0" xfId="0" applyNumberFormat="1" applyFont="1" applyAlignment="1">
      <alignment horizontal="left" vertical="center"/>
    </xf>
    <xf numFmtId="0" fontId="1" fillId="0" borderId="3" xfId="0" applyFont="1" applyBorder="1"/>
    <xf numFmtId="0" fontId="1" fillId="13" borderId="17" xfId="0" applyFont="1" applyFill="1" applyBorder="1" applyAlignment="1">
      <alignment horizontal="center"/>
    </xf>
    <xf numFmtId="0" fontId="2" fillId="13" borderId="28" xfId="0" applyFont="1" applyFill="1" applyBorder="1" applyAlignment="1">
      <alignment horizontal="left"/>
    </xf>
    <xf numFmtId="4" fontId="34" fillId="0" borderId="29" xfId="3" applyNumberFormat="1" applyFont="1" applyBorder="1" applyAlignment="1">
      <alignment horizontal="right" vertical="center"/>
    </xf>
    <xf numFmtId="0" fontId="1" fillId="13" borderId="4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left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Fill="1" applyBorder="1"/>
    <xf numFmtId="0" fontId="12" fillId="13" borderId="5" xfId="0" applyFont="1" applyFill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/>
    </xf>
    <xf numFmtId="164" fontId="35" fillId="0" borderId="27" xfId="0" applyNumberFormat="1" applyFont="1" applyBorder="1" applyAlignment="1">
      <alignment horizontal="center"/>
    </xf>
    <xf numFmtId="0" fontId="32" fillId="0" borderId="27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2" fontId="31" fillId="0" borderId="2" xfId="0" applyNumberFormat="1" applyFont="1" applyBorder="1" applyAlignment="1">
      <alignment wrapText="1"/>
    </xf>
    <xf numFmtId="43" fontId="26" fillId="13" borderId="0" xfId="1" applyFont="1" applyFill="1" applyBorder="1" applyAlignment="1"/>
    <xf numFmtId="164" fontId="16" fillId="17" borderId="3" xfId="0" applyNumberFormat="1" applyFont="1" applyFill="1" applyBorder="1" applyAlignment="1">
      <alignment horizontal="center"/>
    </xf>
    <xf numFmtId="0" fontId="32" fillId="0" borderId="3" xfId="0" applyFont="1" applyBorder="1" applyAlignment="1">
      <alignment horizontal="left"/>
    </xf>
    <xf numFmtId="2" fontId="31" fillId="0" borderId="1" xfId="0" applyNumberFormat="1" applyFont="1" applyBorder="1" applyAlignment="1">
      <alignment wrapText="1"/>
    </xf>
    <xf numFmtId="0" fontId="23" fillId="0" borderId="4" xfId="0" applyFont="1" applyBorder="1" applyAlignment="1"/>
    <xf numFmtId="0" fontId="23" fillId="0" borderId="4" xfId="0" applyFont="1" applyBorder="1" applyAlignment="1">
      <alignment horizontal="left"/>
    </xf>
    <xf numFmtId="43" fontId="1" fillId="13" borderId="1" xfId="0" applyNumberFormat="1" applyFont="1" applyFill="1" applyBorder="1" applyAlignment="1">
      <alignment horizontal="right"/>
    </xf>
    <xf numFmtId="43" fontId="22" fillId="13" borderId="1" xfId="0" applyNumberFormat="1" applyFont="1" applyFill="1" applyBorder="1" applyAlignment="1">
      <alignment horizontal="right"/>
    </xf>
    <xf numFmtId="43" fontId="26" fillId="0" borderId="0" xfId="0" applyNumberFormat="1" applyFont="1" applyFill="1" applyAlignment="1">
      <alignment horizontal="center"/>
    </xf>
    <xf numFmtId="43" fontId="26" fillId="0" borderId="0" xfId="1" applyFont="1" applyFill="1" applyBorder="1" applyAlignment="1">
      <alignment horizontal="center"/>
    </xf>
    <xf numFmtId="9" fontId="26" fillId="0" borderId="0" xfId="0" applyNumberFormat="1" applyFont="1" applyFill="1" applyAlignment="1">
      <alignment horizontal="center"/>
    </xf>
    <xf numFmtId="43" fontId="26" fillId="0" borderId="0" xfId="0" applyNumberFormat="1" applyFont="1" applyFill="1"/>
    <xf numFmtId="43" fontId="26" fillId="0" borderId="0" xfId="1" applyFont="1" applyFill="1" applyBorder="1" applyAlignment="1"/>
    <xf numFmtId="9" fontId="26" fillId="0" borderId="0" xfId="0" applyNumberFormat="1" applyFont="1" applyFill="1" applyAlignment="1">
      <alignment horizontal="center" vertical="center"/>
    </xf>
    <xf numFmtId="0" fontId="1" fillId="0" borderId="3" xfId="0" applyFont="1" applyBorder="1" applyAlignment="1">
      <alignment horizontal="center"/>
    </xf>
    <xf numFmtId="43" fontId="26" fillId="0" borderId="29" xfId="1" applyFont="1" applyFill="1" applyBorder="1" applyAlignment="1">
      <alignment horizontal="center"/>
    </xf>
    <xf numFmtId="43" fontId="26" fillId="0" borderId="1" xfId="1" applyFont="1" applyFill="1" applyBorder="1" applyAlignment="1">
      <alignment horizontal="center"/>
    </xf>
    <xf numFmtId="0" fontId="12" fillId="0" borderId="4" xfId="0" applyFont="1" applyBorder="1" applyAlignment="1">
      <alignment horizontal="left"/>
    </xf>
    <xf numFmtId="43" fontId="2" fillId="0" borderId="0" xfId="0" applyNumberFormat="1" applyFont="1" applyFill="1" applyAlignment="1">
      <alignment vertical="center"/>
    </xf>
    <xf numFmtId="43" fontId="26" fillId="0" borderId="29" xfId="1" applyFont="1" applyFill="1" applyBorder="1" applyAlignment="1">
      <alignment vertical="center"/>
    </xf>
    <xf numFmtId="43" fontId="17" fillId="3" borderId="4" xfId="0" applyNumberFormat="1" applyFont="1" applyFill="1" applyBorder="1" applyAlignment="1">
      <alignment horizontal="right" vertical="center"/>
    </xf>
    <xf numFmtId="43" fontId="17" fillId="3" borderId="1" xfId="0" applyNumberFormat="1" applyFont="1" applyFill="1" applyBorder="1" applyAlignment="1">
      <alignment horizontal="right" vertical="center"/>
    </xf>
    <xf numFmtId="4" fontId="1" fillId="13" borderId="1" xfId="0" applyNumberFormat="1" applyFont="1" applyFill="1" applyBorder="1"/>
    <xf numFmtId="0" fontId="27" fillId="13" borderId="1" xfId="0" applyFont="1" applyFill="1" applyBorder="1" applyAlignment="1">
      <alignment horizontal="right" wrapText="1"/>
    </xf>
    <xf numFmtId="43" fontId="1" fillId="13" borderId="1" xfId="0" applyNumberFormat="1" applyFont="1" applyFill="1" applyBorder="1"/>
    <xf numFmtId="43" fontId="26" fillId="0" borderId="0" xfId="0" applyNumberFormat="1" applyFont="1" applyFill="1" applyAlignment="1">
      <alignment vertical="center"/>
    </xf>
    <xf numFmtId="0" fontId="1" fillId="0" borderId="4" xfId="0" applyFont="1" applyBorder="1" applyAlignment="1">
      <alignment horizontal="left" vertical="center"/>
    </xf>
    <xf numFmtId="164" fontId="16" fillId="17" borderId="15" xfId="0" applyNumberFormat="1" applyFont="1" applyFill="1" applyBorder="1" applyAlignment="1">
      <alignment horizontal="center"/>
    </xf>
    <xf numFmtId="43" fontId="1" fillId="0" borderId="1" xfId="0" applyNumberFormat="1" applyFont="1" applyBorder="1" applyAlignment="1">
      <alignment vertical="center"/>
    </xf>
    <xf numFmtId="0" fontId="26" fillId="0" borderId="27" xfId="0" applyFont="1" applyBorder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2" fillId="13" borderId="27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left"/>
    </xf>
    <xf numFmtId="0" fontId="2" fillId="13" borderId="2" xfId="0" applyFont="1" applyFill="1" applyBorder="1" applyAlignment="1">
      <alignment horizontal="left" vertical="center"/>
    </xf>
    <xf numFmtId="43" fontId="17" fillId="13" borderId="2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2" fillId="13" borderId="4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43" fontId="17" fillId="13" borderId="4" xfId="0" applyNumberFormat="1" applyFont="1" applyFill="1" applyBorder="1" applyAlignment="1">
      <alignment horizontal="right"/>
    </xf>
    <xf numFmtId="43" fontId="17" fillId="13" borderId="1" xfId="0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67" fontId="1" fillId="13" borderId="4" xfId="0" applyNumberFormat="1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13" borderId="2" xfId="0" applyFont="1" applyFill="1" applyBorder="1" applyAlignment="1">
      <alignment vertical="center"/>
    </xf>
    <xf numFmtId="164" fontId="26" fillId="13" borderId="3" xfId="0" applyNumberFormat="1" applyFont="1" applyFill="1" applyBorder="1" applyAlignment="1">
      <alignment horizontal="center"/>
    </xf>
    <xf numFmtId="0" fontId="1" fillId="13" borderId="0" xfId="0" applyFont="1" applyFill="1"/>
    <xf numFmtId="0" fontId="1" fillId="13" borderId="3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0" fontId="35" fillId="0" borderId="14" xfId="0" applyFont="1" applyBorder="1" applyAlignment="1">
      <alignment horizontal="center"/>
    </xf>
    <xf numFmtId="0" fontId="30" fillId="0" borderId="18" xfId="0" applyFont="1" applyBorder="1"/>
    <xf numFmtId="0" fontId="30" fillId="0" borderId="31" xfId="0" applyFont="1" applyBorder="1"/>
    <xf numFmtId="0" fontId="36" fillId="0" borderId="31" xfId="0" applyFont="1" applyBorder="1" applyAlignment="1">
      <alignment horizontal="left" wrapText="1"/>
    </xf>
    <xf numFmtId="0" fontId="36" fillId="0" borderId="18" xfId="0" applyFont="1" applyBorder="1" applyAlignment="1">
      <alignment horizontal="left" wrapText="1"/>
    </xf>
    <xf numFmtId="0" fontId="27" fillId="0" borderId="2" xfId="0" applyFont="1" applyBorder="1" applyAlignment="1">
      <alignment horizontal="center" wrapText="1"/>
    </xf>
    <xf numFmtId="43" fontId="17" fillId="0" borderId="2" xfId="0" applyNumberFormat="1" applyFont="1" applyBorder="1" applyAlignment="1">
      <alignment horizontal="right" vertical="center"/>
    </xf>
    <xf numFmtId="43" fontId="22" fillId="0" borderId="2" xfId="0" applyNumberFormat="1" applyFont="1" applyBorder="1" applyAlignment="1">
      <alignment horizontal="right" vertical="center"/>
    </xf>
    <xf numFmtId="0" fontId="30" fillId="17" borderId="1" xfId="0" applyFont="1" applyFill="1" applyBorder="1"/>
    <xf numFmtId="0" fontId="23" fillId="0" borderId="3" xfId="0" applyFont="1" applyBorder="1"/>
    <xf numFmtId="2" fontId="23" fillId="0" borderId="1" xfId="0" applyNumberFormat="1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43" fontId="23" fillId="13" borderId="1" xfId="0" applyNumberFormat="1" applyFont="1" applyFill="1" applyBorder="1" applyAlignment="1">
      <alignment horizontal="right" vertical="center"/>
    </xf>
    <xf numFmtId="43" fontId="16" fillId="13" borderId="1" xfId="0" applyNumberFormat="1" applyFont="1" applyFill="1" applyBorder="1" applyAlignment="1">
      <alignment horizontal="right" vertical="center"/>
    </xf>
    <xf numFmtId="43" fontId="26" fillId="0" borderId="29" xfId="1" applyFont="1" applyFill="1" applyBorder="1"/>
    <xf numFmtId="0" fontId="2" fillId="0" borderId="3" xfId="0" applyFont="1" applyBorder="1" applyAlignment="1">
      <alignment horizontal="center"/>
    </xf>
    <xf numFmtId="2" fontId="23" fillId="0" borderId="4" xfId="0" applyNumberFormat="1" applyFont="1" applyBorder="1" applyAlignment="1">
      <alignment horizontal="right"/>
    </xf>
    <xf numFmtId="0" fontId="23" fillId="0" borderId="4" xfId="0" applyFont="1" applyBorder="1" applyAlignment="1">
      <alignment horizontal="center"/>
    </xf>
    <xf numFmtId="43" fontId="23" fillId="13" borderId="5" xfId="0" applyNumberFormat="1" applyFont="1" applyFill="1" applyBorder="1" applyAlignment="1">
      <alignment horizontal="right" vertical="center"/>
    </xf>
    <xf numFmtId="43" fontId="16" fillId="13" borderId="4" xfId="0" applyNumberFormat="1" applyFont="1" applyFill="1" applyBorder="1" applyAlignment="1">
      <alignment horizontal="right" vertical="center"/>
    </xf>
    <xf numFmtId="43" fontId="26" fillId="0" borderId="0" xfId="1" applyFont="1" applyFill="1" applyBorder="1"/>
    <xf numFmtId="43" fontId="2" fillId="0" borderId="9" xfId="1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0" fontId="30" fillId="17" borderId="31" xfId="0" applyFont="1" applyFill="1" applyBorder="1"/>
    <xf numFmtId="43" fontId="26" fillId="0" borderId="31" xfId="1" applyFont="1" applyFill="1" applyBorder="1" applyAlignment="1">
      <alignment horizontal="center"/>
    </xf>
    <xf numFmtId="0" fontId="36" fillId="0" borderId="31" xfId="0" applyFont="1" applyBorder="1" applyAlignment="1">
      <alignment horizontal="left"/>
    </xf>
    <xf numFmtId="43" fontId="26" fillId="0" borderId="29" xfId="1" applyFont="1" applyBorder="1"/>
    <xf numFmtId="0" fontId="23" fillId="0" borderId="3" xfId="0" applyFont="1" applyBorder="1" applyAlignment="1">
      <alignment vertical="center"/>
    </xf>
    <xf numFmtId="43" fontId="1" fillId="0" borderId="0" xfId="0" applyNumberFormat="1" applyFont="1"/>
    <xf numFmtId="0" fontId="2" fillId="13" borderId="15" xfId="0" applyFont="1" applyFill="1" applyBorder="1" applyAlignment="1">
      <alignment horizontal="right" vertical="center"/>
    </xf>
    <xf numFmtId="43" fontId="2" fillId="13" borderId="31" xfId="0" applyNumberFormat="1" applyFont="1" applyFill="1" applyBorder="1" applyAlignment="1">
      <alignment horizontal="right" vertical="center"/>
    </xf>
    <xf numFmtId="43" fontId="2" fillId="13" borderId="18" xfId="0" applyNumberFormat="1" applyFont="1" applyFill="1" applyBorder="1" applyAlignment="1">
      <alignment horizontal="right" vertical="center"/>
    </xf>
    <xf numFmtId="0" fontId="2" fillId="13" borderId="30" xfId="0" applyFont="1" applyFill="1" applyBorder="1" applyAlignment="1">
      <alignment horizontal="right" vertical="center"/>
    </xf>
    <xf numFmtId="43" fontId="2" fillId="13" borderId="37" xfId="0" applyNumberFormat="1" applyFont="1" applyFill="1" applyBorder="1" applyAlignment="1">
      <alignment horizontal="right" vertical="center"/>
    </xf>
    <xf numFmtId="0" fontId="2" fillId="13" borderId="2" xfId="0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left"/>
    </xf>
    <xf numFmtId="0" fontId="2" fillId="13" borderId="4" xfId="0" applyFont="1" applyFill="1" applyBorder="1" applyAlignment="1">
      <alignment horizontal="left"/>
    </xf>
    <xf numFmtId="43" fontId="2" fillId="13" borderId="3" xfId="0" applyNumberFormat="1" applyFont="1" applyFill="1" applyBorder="1" applyAlignment="1">
      <alignment horizontal="center"/>
    </xf>
    <xf numFmtId="43" fontId="2" fillId="13" borderId="5" xfId="0" applyNumberFormat="1" applyFont="1" applyFill="1" applyBorder="1" applyAlignment="1">
      <alignment horizontal="center"/>
    </xf>
    <xf numFmtId="0" fontId="2" fillId="13" borderId="3" xfId="0" applyFont="1" applyFill="1" applyBorder="1" applyAlignment="1">
      <alignment horizontal="left"/>
    </xf>
    <xf numFmtId="10" fontId="5" fillId="13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13" borderId="27" xfId="0" applyFont="1" applyFill="1" applyBorder="1" applyAlignment="1">
      <alignment horizontal="right" vertical="center"/>
    </xf>
    <xf numFmtId="43" fontId="2" fillId="13" borderId="28" xfId="0" applyNumberFormat="1" applyFont="1" applyFill="1" applyBorder="1" applyAlignment="1">
      <alignment horizontal="right" vertical="center"/>
    </xf>
    <xf numFmtId="167" fontId="1" fillId="0" borderId="0" xfId="0" applyNumberFormat="1" applyFont="1"/>
    <xf numFmtId="167" fontId="1" fillId="0" borderId="0" xfId="0" applyNumberFormat="1" applyFont="1" applyFill="1" applyAlignment="1">
      <alignment vertical="center"/>
    </xf>
    <xf numFmtId="43" fontId="1" fillId="0" borderId="31" xfId="0" applyNumberFormat="1" applyFont="1" applyBorder="1" applyAlignment="1">
      <alignment horizontal="right" vertical="center"/>
    </xf>
    <xf numFmtId="43" fontId="2" fillId="0" borderId="31" xfId="0" applyNumberFormat="1" applyFont="1" applyBorder="1" applyAlignment="1">
      <alignment vertical="center"/>
    </xf>
    <xf numFmtId="43" fontId="1" fillId="0" borderId="18" xfId="0" applyNumberFormat="1" applyFont="1" applyBorder="1" applyAlignment="1">
      <alignment vertical="center"/>
    </xf>
    <xf numFmtId="0" fontId="1" fillId="0" borderId="30" xfId="0" applyFont="1" applyBorder="1"/>
    <xf numFmtId="43" fontId="1" fillId="0" borderId="0" xfId="0" applyNumberFormat="1" applyFont="1" applyAlignment="1">
      <alignment horizontal="left" vertical="center"/>
    </xf>
    <xf numFmtId="43" fontId="1" fillId="0" borderId="37" xfId="0" applyNumberFormat="1" applyFont="1" applyBorder="1" applyAlignment="1">
      <alignment horizontal="right" vertical="center"/>
    </xf>
    <xf numFmtId="169" fontId="1" fillId="0" borderId="37" xfId="0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" fillId="0" borderId="27" xfId="0" applyFont="1" applyBorder="1"/>
    <xf numFmtId="0" fontId="1" fillId="0" borderId="17" xfId="0" applyFont="1" applyBorder="1"/>
    <xf numFmtId="168" fontId="1" fillId="0" borderId="17" xfId="0" applyNumberFormat="1" applyFont="1" applyBorder="1"/>
    <xf numFmtId="0" fontId="1" fillId="0" borderId="17" xfId="0" applyFont="1" applyBorder="1" applyAlignment="1">
      <alignment horizontal="right"/>
    </xf>
    <xf numFmtId="43" fontId="1" fillId="0" borderId="17" xfId="0" applyNumberFormat="1" applyFont="1" applyBorder="1" applyAlignment="1">
      <alignment horizontal="right" vertical="center"/>
    </xf>
    <xf numFmtId="43" fontId="1" fillId="0" borderId="28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43" fontId="1" fillId="0" borderId="0" xfId="0" applyNumberFormat="1" applyFont="1" applyAlignment="1">
      <alignment horizontal="right"/>
    </xf>
    <xf numFmtId="0" fontId="23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168" fontId="2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168" fontId="1" fillId="0" borderId="1" xfId="0" applyNumberFormat="1" applyFont="1" applyFill="1" applyBorder="1" applyAlignment="1">
      <alignment vertical="center"/>
    </xf>
    <xf numFmtId="168" fontId="2" fillId="0" borderId="1" xfId="0" applyNumberFormat="1" applyFont="1" applyFill="1" applyBorder="1" applyAlignment="1">
      <alignment vertical="center"/>
    </xf>
    <xf numFmtId="2" fontId="31" fillId="0" borderId="1" xfId="0" applyNumberFormat="1" applyFont="1" applyBorder="1" applyAlignment="1">
      <alignment horizontal="right"/>
    </xf>
    <xf numFmtId="2" fontId="31" fillId="0" borderId="2" xfId="0" applyNumberFormat="1" applyFont="1" applyBorder="1" applyAlignment="1">
      <alignment horizontal="right"/>
    </xf>
    <xf numFmtId="0" fontId="27" fillId="0" borderId="1" xfId="0" applyFont="1" applyBorder="1" applyAlignment="1">
      <alignment horizontal="right" vertical="center"/>
    </xf>
    <xf numFmtId="2" fontId="1" fillId="0" borderId="1" xfId="2" applyNumberFormat="1" applyFont="1" applyFill="1" applyBorder="1" applyAlignment="1">
      <alignment horizontal="right"/>
    </xf>
    <xf numFmtId="2" fontId="1" fillId="0" borderId="14" xfId="0" applyNumberFormat="1" applyFont="1" applyBorder="1" applyAlignment="1">
      <alignment horizontal="right"/>
    </xf>
    <xf numFmtId="2" fontId="2" fillId="0" borderId="14" xfId="0" applyNumberFormat="1" applyFont="1" applyBorder="1" applyAlignment="1"/>
    <xf numFmtId="2" fontId="22" fillId="0" borderId="1" xfId="0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 wrapText="1"/>
    </xf>
    <xf numFmtId="2" fontId="1" fillId="13" borderId="1" xfId="0" applyNumberFormat="1" applyFont="1" applyFill="1" applyBorder="1" applyAlignment="1">
      <alignment horizontal="right"/>
    </xf>
    <xf numFmtId="2" fontId="22" fillId="13" borderId="1" xfId="0" applyNumberFormat="1" applyFont="1" applyFill="1" applyBorder="1" applyAlignment="1">
      <alignment horizontal="right"/>
    </xf>
    <xf numFmtId="2" fontId="27" fillId="0" borderId="2" xfId="0" applyNumberFormat="1" applyFont="1" applyBorder="1" applyAlignment="1">
      <alignment horizontal="right" wrapText="1"/>
    </xf>
    <xf numFmtId="2" fontId="1" fillId="13" borderId="2" xfId="0" applyNumberFormat="1" applyFont="1" applyFill="1" applyBorder="1" applyAlignment="1">
      <alignment horizontal="right" vertical="center"/>
    </xf>
    <xf numFmtId="2" fontId="22" fillId="13" borderId="2" xfId="0" applyNumberFormat="1" applyFont="1" applyFill="1" applyBorder="1" applyAlignment="1">
      <alignment horizontal="right" vertical="center"/>
    </xf>
    <xf numFmtId="2" fontId="1" fillId="13" borderId="1" xfId="0" applyNumberFormat="1" applyFont="1" applyFill="1" applyBorder="1" applyAlignment="1">
      <alignment horizontal="right" vertical="center"/>
    </xf>
    <xf numFmtId="2" fontId="22" fillId="13" borderId="1" xfId="0" applyNumberFormat="1" applyFont="1" applyFill="1" applyBorder="1" applyAlignment="1">
      <alignment horizontal="right" vertical="center"/>
    </xf>
    <xf numFmtId="2" fontId="1" fillId="13" borderId="2" xfId="0" applyNumberFormat="1" applyFont="1" applyFill="1" applyBorder="1" applyAlignment="1">
      <alignment horizontal="right"/>
    </xf>
    <xf numFmtId="2" fontId="22" fillId="13" borderId="2" xfId="0" applyNumberFormat="1" applyFont="1" applyFill="1" applyBorder="1" applyAlignment="1">
      <alignment horizontal="right"/>
    </xf>
    <xf numFmtId="2" fontId="1" fillId="0" borderId="1" xfId="3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textRotation="90" wrapText="1"/>
    </xf>
    <xf numFmtId="0" fontId="2" fillId="3" borderId="16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textRotation="90" wrapText="1"/>
    </xf>
    <xf numFmtId="0" fontId="7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/>
    </xf>
    <xf numFmtId="43" fontId="2" fillId="0" borderId="1" xfId="0" applyNumberFormat="1" applyFont="1" applyFill="1" applyBorder="1" applyAlignment="1">
      <alignment horizontal="center" vertical="center"/>
    </xf>
    <xf numFmtId="167" fontId="38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8" fontId="1" fillId="0" borderId="3" xfId="0" applyNumberFormat="1" applyFont="1" applyBorder="1" applyAlignment="1">
      <alignment horizontal="center"/>
    </xf>
    <xf numFmtId="168" fontId="1" fillId="0" borderId="4" xfId="0" applyNumberFormat="1" applyFont="1" applyBorder="1" applyAlignment="1">
      <alignment horizontal="center"/>
    </xf>
    <xf numFmtId="168" fontId="1" fillId="0" borderId="5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168" fontId="2" fillId="3" borderId="3" xfId="0" applyNumberFormat="1" applyFont="1" applyFill="1" applyBorder="1" applyAlignment="1">
      <alignment horizontal="center"/>
    </xf>
    <xf numFmtId="168" fontId="2" fillId="3" borderId="4" xfId="0" applyNumberFormat="1" applyFont="1" applyFill="1" applyBorder="1" applyAlignment="1">
      <alignment horizontal="center"/>
    </xf>
    <xf numFmtId="168" fontId="2" fillId="3" borderId="5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2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2" fillId="0" borderId="3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1" fillId="0" borderId="17" xfId="0" applyFont="1" applyBorder="1" applyAlignment="1">
      <alignment horizontal="right"/>
    </xf>
    <xf numFmtId="0" fontId="1" fillId="0" borderId="28" xfId="0" applyFont="1" applyBorder="1" applyAlignment="1">
      <alignment horizontal="right"/>
    </xf>
    <xf numFmtId="168" fontId="1" fillId="0" borderId="27" xfId="0" applyNumberFormat="1" applyFont="1" applyBorder="1" applyAlignment="1">
      <alignment horizontal="center"/>
    </xf>
    <xf numFmtId="168" fontId="1" fillId="0" borderId="17" xfId="0" applyNumberFormat="1" applyFont="1" applyBorder="1" applyAlignment="1">
      <alignment horizontal="center"/>
    </xf>
    <xf numFmtId="168" fontId="1" fillId="0" borderId="28" xfId="0" applyNumberFormat="1" applyFont="1" applyBorder="1" applyAlignment="1">
      <alignment horizontal="center"/>
    </xf>
    <xf numFmtId="2" fontId="2" fillId="0" borderId="31" xfId="0" applyNumberFormat="1" applyFont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0" fontId="2" fillId="13" borderId="4" xfId="0" applyFont="1" applyFill="1" applyBorder="1" applyAlignment="1">
      <alignment horizontal="left"/>
    </xf>
    <xf numFmtId="0" fontId="2" fillId="13" borderId="5" xfId="0" applyFont="1" applyFill="1" applyBorder="1" applyAlignment="1">
      <alignment horizontal="left"/>
    </xf>
    <xf numFmtId="167" fontId="2" fillId="3" borderId="3" xfId="0" applyNumberFormat="1" applyFont="1" applyFill="1" applyBorder="1" applyAlignment="1">
      <alignment horizontal="center"/>
    </xf>
    <xf numFmtId="167" fontId="2" fillId="3" borderId="5" xfId="0" applyNumberFormat="1" applyFont="1" applyFill="1" applyBorder="1" applyAlignment="1">
      <alignment horizontal="center"/>
    </xf>
    <xf numFmtId="167" fontId="1" fillId="13" borderId="3" xfId="0" applyNumberFormat="1" applyFont="1" applyFill="1" applyBorder="1" applyAlignment="1">
      <alignment horizontal="center"/>
    </xf>
    <xf numFmtId="167" fontId="1" fillId="13" borderId="5" xfId="0" applyNumberFormat="1" applyFont="1" applyFill="1" applyBorder="1" applyAlignment="1">
      <alignment horizontal="center"/>
    </xf>
    <xf numFmtId="0" fontId="2" fillId="19" borderId="3" xfId="0" applyFont="1" applyFill="1" applyBorder="1" applyAlignment="1">
      <alignment horizontal="right"/>
    </xf>
    <xf numFmtId="0" fontId="2" fillId="19" borderId="4" xfId="0" applyFont="1" applyFill="1" applyBorder="1" applyAlignment="1">
      <alignment horizontal="right"/>
    </xf>
    <xf numFmtId="0" fontId="2" fillId="19" borderId="5" xfId="0" applyFont="1" applyFill="1" applyBorder="1" applyAlignment="1">
      <alignment horizontal="right"/>
    </xf>
    <xf numFmtId="167" fontId="2" fillId="19" borderId="3" xfId="0" applyNumberFormat="1" applyFont="1" applyFill="1" applyBorder="1" applyAlignment="1">
      <alignment horizontal="center"/>
    </xf>
    <xf numFmtId="167" fontId="2" fillId="19" borderId="5" xfId="0" applyNumberFormat="1" applyFont="1" applyFill="1" applyBorder="1" applyAlignment="1">
      <alignment horizontal="center"/>
    </xf>
    <xf numFmtId="43" fontId="2" fillId="3" borderId="3" xfId="0" applyNumberFormat="1" applyFont="1" applyFill="1" applyBorder="1" applyAlignment="1">
      <alignment horizontal="center"/>
    </xf>
    <xf numFmtId="43" fontId="2" fillId="3" borderId="5" xfId="0" applyNumberFormat="1" applyFont="1" applyFill="1" applyBorder="1" applyAlignment="1">
      <alignment horizontal="center"/>
    </xf>
    <xf numFmtId="43" fontId="1" fillId="13" borderId="3" xfId="0" applyNumberFormat="1" applyFont="1" applyFill="1" applyBorder="1" applyAlignment="1">
      <alignment horizontal="center"/>
    </xf>
    <xf numFmtId="43" fontId="1" fillId="13" borderId="5" xfId="0" applyNumberFormat="1" applyFont="1" applyFill="1" applyBorder="1" applyAlignment="1">
      <alignment horizontal="center"/>
    </xf>
    <xf numFmtId="0" fontId="2" fillId="13" borderId="30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37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/>
    </xf>
    <xf numFmtId="0" fontId="2" fillId="18" borderId="30" xfId="0" applyFont="1" applyFill="1" applyBorder="1" applyAlignment="1">
      <alignment horizontal="right" vertical="center"/>
    </xf>
    <xf numFmtId="0" fontId="2" fillId="18" borderId="0" xfId="0" applyFont="1" applyFill="1" applyAlignment="1">
      <alignment horizontal="right" vertical="center"/>
    </xf>
    <xf numFmtId="0" fontId="2" fillId="18" borderId="37" xfId="0" applyFont="1" applyFill="1" applyBorder="1" applyAlignment="1">
      <alignment horizontal="right" vertical="center"/>
    </xf>
    <xf numFmtId="0" fontId="2" fillId="18" borderId="27" xfId="0" applyFont="1" applyFill="1" applyBorder="1" applyAlignment="1">
      <alignment horizontal="right" vertical="center"/>
    </xf>
    <xf numFmtId="0" fontId="2" fillId="18" borderId="17" xfId="0" applyFont="1" applyFill="1" applyBorder="1" applyAlignment="1">
      <alignment horizontal="right" vertical="center"/>
    </xf>
    <xf numFmtId="0" fontId="2" fillId="18" borderId="28" xfId="0" applyFont="1" applyFill="1" applyBorder="1" applyAlignment="1">
      <alignment horizontal="right" vertical="center"/>
    </xf>
    <xf numFmtId="43" fontId="2" fillId="18" borderId="16" xfId="0" applyNumberFormat="1" applyFont="1" applyFill="1" applyBorder="1" applyAlignment="1">
      <alignment horizontal="right" vertical="center"/>
    </xf>
    <xf numFmtId="43" fontId="2" fillId="18" borderId="2" xfId="0" applyNumberFormat="1" applyFont="1" applyFill="1" applyBorder="1" applyAlignment="1">
      <alignment horizontal="right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30" fillId="0" borderId="3" xfId="0" applyFont="1" applyBorder="1" applyAlignment="1">
      <alignment horizontal="left" wrapText="1"/>
    </xf>
    <xf numFmtId="0" fontId="30" fillId="0" borderId="4" xfId="0" applyFont="1" applyBorder="1" applyAlignment="1">
      <alignment horizontal="left" wrapText="1"/>
    </xf>
    <xf numFmtId="0" fontId="30" fillId="0" borderId="5" xfId="0" applyFont="1" applyBorder="1" applyAlignment="1">
      <alignment horizontal="left" wrapText="1"/>
    </xf>
    <xf numFmtId="0" fontId="1" fillId="0" borderId="1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3" borderId="15" xfId="0" applyFont="1" applyFill="1" applyBorder="1" applyAlignment="1">
      <alignment horizontal="left" vertical="center"/>
    </xf>
    <xf numFmtId="0" fontId="2" fillId="3" borderId="31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3" fillId="0" borderId="3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5" fillId="0" borderId="0" xfId="0" applyFont="1" applyAlignment="1">
      <alignment horizontal="left" vertical="center"/>
    </xf>
    <xf numFmtId="164" fontId="26" fillId="0" borderId="14" xfId="0" applyNumberFormat="1" applyFont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" vertical="center"/>
    </xf>
    <xf numFmtId="164" fontId="26" fillId="0" borderId="2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wrapText="1"/>
    </xf>
    <xf numFmtId="0" fontId="28" fillId="0" borderId="4" xfId="0" applyFont="1" applyBorder="1" applyAlignment="1">
      <alignment horizontal="left" wrapText="1"/>
    </xf>
    <xf numFmtId="0" fontId="28" fillId="0" borderId="5" xfId="0" applyFont="1" applyBorder="1" applyAlignment="1">
      <alignment horizontal="left" wrapText="1"/>
    </xf>
    <xf numFmtId="164" fontId="26" fillId="14" borderId="14" xfId="0" applyNumberFormat="1" applyFont="1" applyFill="1" applyBorder="1" applyAlignment="1">
      <alignment horizontal="center" vertical="center"/>
    </xf>
    <xf numFmtId="164" fontId="26" fillId="14" borderId="16" xfId="0" applyNumberFormat="1" applyFont="1" applyFill="1" applyBorder="1" applyAlignment="1">
      <alignment horizontal="center" vertical="center"/>
    </xf>
    <xf numFmtId="164" fontId="26" fillId="14" borderId="2" xfId="0" applyNumberFormat="1" applyFont="1" applyFill="1" applyBorder="1" applyAlignment="1">
      <alignment horizontal="center" vertical="center"/>
    </xf>
    <xf numFmtId="43" fontId="23" fillId="0" borderId="0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5" fillId="0" borderId="20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25" fillId="0" borderId="22" xfId="0" applyFont="1" applyBorder="1" applyAlignment="1">
      <alignment horizontal="left"/>
    </xf>
    <xf numFmtId="0" fontId="23" fillId="0" borderId="0" xfId="0" applyFont="1" applyAlignment="1">
      <alignment horizontal="left" vertical="center"/>
    </xf>
    <xf numFmtId="166" fontId="24" fillId="0" borderId="4" xfId="0" applyNumberFormat="1" applyFont="1" applyBorder="1" applyAlignment="1">
      <alignment horizontal="left" wrapText="1"/>
    </xf>
    <xf numFmtId="164" fontId="26" fillId="13" borderId="27" xfId="0" applyNumberFormat="1" applyFont="1" applyFill="1" applyBorder="1" applyAlignment="1">
      <alignment horizontal="center"/>
    </xf>
    <xf numFmtId="164" fontId="26" fillId="13" borderId="1" xfId="0" applyNumberFormat="1" applyFont="1" applyFill="1" applyBorder="1" applyAlignment="1">
      <alignment horizontal="center"/>
    </xf>
    <xf numFmtId="0" fontId="26" fillId="13" borderId="1" xfId="0" applyFont="1" applyFill="1" applyBorder="1" applyAlignment="1">
      <alignment vertical="center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27" xfId="0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6" fillId="14" borderId="3" xfId="0" applyFont="1" applyFill="1" applyBorder="1" applyAlignment="1">
      <alignment horizontal="left"/>
    </xf>
    <xf numFmtId="0" fontId="16" fillId="14" borderId="4" xfId="0" applyFont="1" applyFill="1" applyBorder="1" applyAlignment="1">
      <alignment horizontal="left"/>
    </xf>
    <xf numFmtId="0" fontId="16" fillId="14" borderId="5" xfId="0" applyFont="1" applyFill="1" applyBorder="1" applyAlignment="1">
      <alignment horizontal="left"/>
    </xf>
  </cellXfs>
  <cellStyles count="4">
    <cellStyle name="Comma" xfId="1" builtinId="3"/>
    <cellStyle name="Comma 9" xfId="2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272143</xdr:colOff>
      <xdr:row>2</xdr:row>
      <xdr:rowOff>250371</xdr:rowOff>
    </xdr:from>
    <xdr:ext cx="3363687" cy="2830285"/>
    <xdr:grpSp>
      <xdr:nvGrpSpPr>
        <xdr:cNvPr id="2" name="Shape 2"/>
        <xdr:cNvGrpSpPr/>
      </xdr:nvGrpSpPr>
      <xdr:grpSpPr>
        <a:xfrm>
          <a:off x="5780314" y="598714"/>
          <a:ext cx="3363687" cy="2830285"/>
          <a:chOff x="4245863" y="2956088"/>
          <a:chExt cx="2200275" cy="1647825"/>
        </a:xfrm>
      </xdr:grpSpPr>
      <xdr:grpSp>
        <xdr:nvGrpSpPr>
          <xdr:cNvPr id="3" name="Shape 3"/>
          <xdr:cNvGrpSpPr/>
        </xdr:nvGrpSpPr>
        <xdr:grpSpPr>
          <a:xfrm>
            <a:off x="4245863" y="2956088"/>
            <a:ext cx="2200275" cy="1647825"/>
            <a:chOff x="95250" y="752475"/>
            <a:chExt cx="2381250" cy="1971675"/>
          </a:xfrm>
        </xdr:grpSpPr>
        <xdr:sp macro="" textlink="">
          <xdr:nvSpPr>
            <xdr:cNvPr id="4" name="Shape 4"/>
            <xdr:cNvSpPr/>
          </xdr:nvSpPr>
          <xdr:spPr>
            <a:xfrm>
              <a:off x="95250" y="752475"/>
              <a:ext cx="2381250" cy="1971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8429" y="752475"/>
              <a:ext cx="1674189" cy="1527240"/>
              <a:chOff x="603229" y="809625"/>
              <a:chExt cx="1674189" cy="1498604"/>
            </a:xfrm>
          </xdr:grpSpPr>
          <xdr:sp macro="" textlink="">
            <xdr:nvSpPr>
              <xdr:cNvPr id="12" name="Shape 6"/>
              <xdr:cNvSpPr/>
            </xdr:nvSpPr>
            <xdr:spPr>
              <a:xfrm>
                <a:off x="603229" y="1491529"/>
                <a:ext cx="1674189" cy="816700"/>
              </a:xfrm>
              <a:prstGeom prst="cube">
                <a:avLst>
                  <a:gd name="adj" fmla="val 65512"/>
                </a:avLst>
              </a:prstGeom>
              <a:blipFill>
                <a:blip xmlns:r="http://schemas.openxmlformats.org/officeDocument/2006/relationships" r:embed="rId1"/>
                <a:tile tx="0" ty="0" sx="100000" sy="100000" flip="none" algn="tl"/>
              </a:blipFill>
              <a:ln w="9525" cap="flat" cmpd="sng">
                <a:solidFill>
                  <a:srgbClr val="395E89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7"/>
              <xdr:cNvSpPr/>
            </xdr:nvSpPr>
            <xdr:spPr>
              <a:xfrm>
                <a:off x="1220891" y="809625"/>
                <a:ext cx="414484" cy="1014928"/>
              </a:xfrm>
              <a:prstGeom prst="cube">
                <a:avLst>
                  <a:gd name="adj" fmla="val 25000"/>
                </a:avLst>
              </a:prstGeom>
              <a:blipFill>
                <a:blip xmlns:r="http://schemas.openxmlformats.org/officeDocument/2006/relationships" r:embed="rId1"/>
                <a:tile tx="0" ty="0" sx="100000" sy="100000" flip="none" algn="tl"/>
              </a:blipFill>
              <a:ln w="9525" cap="flat" cmpd="sng">
                <a:solidFill>
                  <a:srgbClr val="395E89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cxnSp macro="">
          <xdr:nvCxnSpPr>
            <xdr:cNvPr id="6" name="Shape 8"/>
            <xdr:cNvCxnSpPr/>
          </xdr:nvCxnSpPr>
          <xdr:spPr>
            <a:xfrm>
              <a:off x="2151415" y="1447410"/>
              <a:ext cx="0" cy="290903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  <xdr:sp macro="" textlink="">
          <xdr:nvSpPr>
            <xdr:cNvPr id="7" name="Shape 9"/>
            <xdr:cNvSpPr txBox="1"/>
          </xdr:nvSpPr>
          <xdr:spPr>
            <a:xfrm>
              <a:off x="2143288" y="1487813"/>
              <a:ext cx="333212" cy="18585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</a:t>
              </a:r>
              <a:endParaRPr sz="1400"/>
            </a:p>
          </xdr:txBody>
        </xdr:sp>
        <xdr:cxnSp macro="">
          <xdr:nvCxnSpPr>
            <xdr:cNvPr id="8" name="Shape 10"/>
            <xdr:cNvCxnSpPr/>
          </xdr:nvCxnSpPr>
          <xdr:spPr>
            <a:xfrm rot="10800000" flipH="1">
              <a:off x="111504" y="1439329"/>
              <a:ext cx="560772" cy="56564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  <xdr:cxnSp macro="">
          <xdr:nvCxnSpPr>
            <xdr:cNvPr id="9" name="Shape 11"/>
            <xdr:cNvCxnSpPr/>
          </xdr:nvCxnSpPr>
          <xdr:spPr>
            <a:xfrm>
              <a:off x="290301" y="2409005"/>
              <a:ext cx="1154053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  <xdr:sp macro="" textlink="">
          <xdr:nvSpPr>
            <xdr:cNvPr id="10" name="Shape 12"/>
            <xdr:cNvSpPr txBox="1"/>
          </xdr:nvSpPr>
          <xdr:spPr>
            <a:xfrm>
              <a:off x="696658" y="2465570"/>
              <a:ext cx="333212" cy="25858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</a:t>
              </a:r>
              <a:endParaRPr sz="1400"/>
            </a:p>
          </xdr:txBody>
        </xdr:sp>
        <xdr:sp macro="" textlink="">
          <xdr:nvSpPr>
            <xdr:cNvPr id="11" name="Shape 13"/>
            <xdr:cNvSpPr txBox="1"/>
          </xdr:nvSpPr>
          <xdr:spPr>
            <a:xfrm>
              <a:off x="95250" y="1471652"/>
              <a:ext cx="333212" cy="17777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W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892631</xdr:colOff>
      <xdr:row>2</xdr:row>
      <xdr:rowOff>97971</xdr:rowOff>
    </xdr:from>
    <xdr:ext cx="3320143" cy="2656114"/>
    <xdr:grpSp>
      <xdr:nvGrpSpPr>
        <xdr:cNvPr id="14" name="Shape 2"/>
        <xdr:cNvGrpSpPr/>
      </xdr:nvGrpSpPr>
      <xdr:grpSpPr>
        <a:xfrm>
          <a:off x="9035145" y="446314"/>
          <a:ext cx="3320143" cy="2656114"/>
          <a:chOff x="3883913" y="2603663"/>
          <a:chExt cx="2924175" cy="2352675"/>
        </a:xfrm>
      </xdr:grpSpPr>
      <xdr:grpSp>
        <xdr:nvGrpSpPr>
          <xdr:cNvPr id="15" name="Shape 235"/>
          <xdr:cNvGrpSpPr/>
        </xdr:nvGrpSpPr>
        <xdr:grpSpPr>
          <a:xfrm>
            <a:off x="3883913" y="2603663"/>
            <a:ext cx="2924175" cy="2352675"/>
            <a:chOff x="25066" y="5549565"/>
            <a:chExt cx="2699083" cy="2782305"/>
          </a:xfrm>
        </xdr:grpSpPr>
        <xdr:sp macro="" textlink="">
          <xdr:nvSpPr>
            <xdr:cNvPr id="16" name="Shape 4"/>
            <xdr:cNvSpPr/>
          </xdr:nvSpPr>
          <xdr:spPr>
            <a:xfrm>
              <a:off x="25066" y="5549565"/>
              <a:ext cx="2699075" cy="2782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236"/>
            <xdr:cNvGrpSpPr/>
          </xdr:nvGrpSpPr>
          <xdr:grpSpPr>
            <a:xfrm>
              <a:off x="505840" y="6495549"/>
              <a:ext cx="1391715" cy="1375253"/>
              <a:chOff x="485787" y="7372852"/>
              <a:chExt cx="1391715" cy="1375253"/>
            </a:xfrm>
          </xdr:grpSpPr>
          <xdr:sp macro="" textlink="">
            <xdr:nvSpPr>
              <xdr:cNvPr id="35" name="Shape 237"/>
              <xdr:cNvSpPr/>
            </xdr:nvSpPr>
            <xdr:spPr>
              <a:xfrm>
                <a:off x="485787" y="7372852"/>
                <a:ext cx="1391715" cy="1375253"/>
              </a:xfrm>
              <a:prstGeom prst="rect">
                <a:avLst/>
              </a:prstGeom>
              <a:blipFill rotWithShape="1">
                <a:blip xmlns:r="http://schemas.openxmlformats.org/officeDocument/2006/relationships" r:embed="rId1">
                  <a:alphaModFix/>
                </a:blip>
                <a:tile tx="0" ty="0" sx="100000" sy="100000" flip="none" algn="tl"/>
              </a:blipFill>
              <a:ln w="9525" cap="flat" cmpd="sng">
                <a:solidFill>
                  <a:srgbClr val="395E89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grpSp>
            <xdr:nvGrpSpPr>
              <xdr:cNvPr id="36" name="Shape 238"/>
              <xdr:cNvGrpSpPr/>
            </xdr:nvGrpSpPr>
            <xdr:grpSpPr>
              <a:xfrm>
                <a:off x="612306" y="7500043"/>
                <a:ext cx="1155635" cy="1120871"/>
                <a:chOff x="2121267" y="7464951"/>
                <a:chExt cx="1155635" cy="1120871"/>
              </a:xfrm>
            </xdr:grpSpPr>
            <xdr:sp macro="" textlink="">
              <xdr:nvSpPr>
                <xdr:cNvPr id="38" name="Shape 239"/>
                <xdr:cNvSpPr/>
              </xdr:nvSpPr>
              <xdr:spPr>
                <a:xfrm>
                  <a:off x="2129702" y="7464951"/>
                  <a:ext cx="1147110" cy="1112922"/>
                </a:xfrm>
                <a:prstGeom prst="rect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endParaRPr sz="1100"/>
                </a:p>
              </xdr:txBody>
            </xdr:sp>
            <xdr:cxnSp macro="">
              <xdr:nvCxnSpPr>
                <xdr:cNvPr id="39" name="Shape 240"/>
                <xdr:cNvCxnSpPr/>
              </xdr:nvCxnSpPr>
              <xdr:spPr>
                <a:xfrm>
                  <a:off x="2694823" y="7464951"/>
                  <a:ext cx="0" cy="111300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" name="Shape 241"/>
                <xdr:cNvCxnSpPr/>
              </xdr:nvCxnSpPr>
              <xdr:spPr>
                <a:xfrm>
                  <a:off x="2129702" y="8021412"/>
                  <a:ext cx="1147200" cy="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" name="Shape 242"/>
                <xdr:cNvCxnSpPr/>
              </xdr:nvCxnSpPr>
              <xdr:spPr>
                <a:xfrm>
                  <a:off x="2129702" y="7751131"/>
                  <a:ext cx="1147110" cy="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" name="Shape 243"/>
                <xdr:cNvCxnSpPr/>
              </xdr:nvCxnSpPr>
              <xdr:spPr>
                <a:xfrm>
                  <a:off x="2121267" y="8299642"/>
                  <a:ext cx="1147110" cy="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" name="Shape 244"/>
                <xdr:cNvCxnSpPr/>
              </xdr:nvCxnSpPr>
              <xdr:spPr>
                <a:xfrm rot="5400000">
                  <a:off x="1851584" y="8021412"/>
                  <a:ext cx="1112922" cy="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" name="Shape 245"/>
                <xdr:cNvCxnSpPr/>
              </xdr:nvCxnSpPr>
              <xdr:spPr>
                <a:xfrm rot="5400000">
                  <a:off x="2433574" y="8029361"/>
                  <a:ext cx="1112922" cy="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sp macro="" textlink="">
            <xdr:nvSpPr>
              <xdr:cNvPr id="37" name="Shape 246"/>
              <xdr:cNvSpPr/>
            </xdr:nvSpPr>
            <xdr:spPr>
              <a:xfrm>
                <a:off x="485787" y="7865717"/>
                <a:ext cx="868768" cy="882388"/>
              </a:xfrm>
              <a:custGeom>
                <a:avLst/>
                <a:gdLst/>
                <a:ahLst/>
                <a:cxnLst/>
                <a:rect l="l" t="t" r="r" b="b"/>
                <a:pathLst>
                  <a:path w="862263" h="882316" extrusionOk="0">
                    <a:moveTo>
                      <a:pt x="0" y="872289"/>
                    </a:moveTo>
                    <a:lnTo>
                      <a:pt x="5013" y="0"/>
                    </a:lnTo>
                    <a:lnTo>
                      <a:pt x="130342" y="110289"/>
                    </a:lnTo>
                    <a:cubicBezTo>
                      <a:pt x="286635" y="193646"/>
                      <a:pt x="223921" y="190500"/>
                      <a:pt x="300790" y="190500"/>
                    </a:cubicBezTo>
                    <a:cubicBezTo>
                      <a:pt x="350922" y="207210"/>
                      <a:pt x="401706" y="222076"/>
                      <a:pt x="451185" y="240631"/>
                    </a:cubicBezTo>
                    <a:cubicBezTo>
                      <a:pt x="455611" y="242291"/>
                      <a:pt x="458375" y="246877"/>
                      <a:pt x="461211" y="250658"/>
                    </a:cubicBezTo>
                    <a:cubicBezTo>
                      <a:pt x="463453" y="253647"/>
                      <a:pt x="464553" y="257342"/>
                      <a:pt x="466224" y="260684"/>
                    </a:cubicBezTo>
                    <a:cubicBezTo>
                      <a:pt x="474579" y="302460"/>
                      <a:pt x="480957" y="344681"/>
                      <a:pt x="491290" y="386013"/>
                    </a:cubicBezTo>
                    <a:cubicBezTo>
                      <a:pt x="492751" y="391858"/>
                      <a:pt x="498622" y="395663"/>
                      <a:pt x="501316" y="401052"/>
                    </a:cubicBezTo>
                    <a:cubicBezTo>
                      <a:pt x="512837" y="424095"/>
                      <a:pt x="500016" y="409779"/>
                      <a:pt x="511342" y="421105"/>
                    </a:cubicBezTo>
                    <a:cubicBezTo>
                      <a:pt x="519697" y="436144"/>
                      <a:pt x="527171" y="451708"/>
                      <a:pt x="536408" y="466223"/>
                    </a:cubicBezTo>
                    <a:cubicBezTo>
                      <a:pt x="538946" y="470211"/>
                      <a:pt x="544003" y="472197"/>
                      <a:pt x="546435" y="476250"/>
                    </a:cubicBezTo>
                    <a:cubicBezTo>
                      <a:pt x="551976" y="485485"/>
                      <a:pt x="551448" y="488341"/>
                      <a:pt x="551448" y="496302"/>
                    </a:cubicBezTo>
                    <a:cubicBezTo>
                      <a:pt x="559803" y="539749"/>
                      <a:pt x="564748" y="583994"/>
                      <a:pt x="576513" y="626644"/>
                    </a:cubicBezTo>
                    <a:cubicBezTo>
                      <a:pt x="578398" y="633479"/>
                      <a:pt x="588035" y="635528"/>
                      <a:pt x="591553" y="641684"/>
                    </a:cubicBezTo>
                    <a:cubicBezTo>
                      <a:pt x="616191" y="684801"/>
                      <a:pt x="579018" y="644189"/>
                      <a:pt x="606592" y="671763"/>
                    </a:cubicBezTo>
                    <a:cubicBezTo>
                      <a:pt x="646697" y="680118"/>
                      <a:pt x="687891" y="684344"/>
                      <a:pt x="726908" y="696829"/>
                    </a:cubicBezTo>
                    <a:cubicBezTo>
                      <a:pt x="778860" y="713454"/>
                      <a:pt x="711958" y="711868"/>
                      <a:pt x="736935" y="711868"/>
                    </a:cubicBezTo>
                    <a:cubicBezTo>
                      <a:pt x="763672" y="723565"/>
                      <a:pt x="791043" y="733909"/>
                      <a:pt x="817145" y="746960"/>
                    </a:cubicBezTo>
                    <a:cubicBezTo>
                      <a:pt x="839562" y="758169"/>
                      <a:pt x="818481" y="756987"/>
                      <a:pt x="832185" y="756987"/>
                    </a:cubicBezTo>
                    <a:lnTo>
                      <a:pt x="862263" y="882316"/>
                    </a:lnTo>
                    <a:lnTo>
                      <a:pt x="0" y="872289"/>
                    </a:lnTo>
                    <a:close/>
                  </a:path>
                </a:pathLst>
              </a:custGeom>
              <a:blipFill rotWithShape="1">
                <a:blip xmlns:r="http://schemas.openxmlformats.org/officeDocument/2006/relationships" r:embed="rId2">
                  <a:alphaModFix/>
                </a:blip>
                <a:tile tx="0" ty="0" sx="100000" sy="100000" flip="none" algn="tl"/>
              </a:blipFill>
              <a:ln w="9525" cap="flat" cmpd="sng">
                <a:solidFill>
                  <a:srgbClr val="395E89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8" name="Shape 247"/>
            <xdr:cNvGrpSpPr/>
          </xdr:nvGrpSpPr>
          <xdr:grpSpPr>
            <a:xfrm>
              <a:off x="497405" y="5827796"/>
              <a:ext cx="1391714" cy="325927"/>
              <a:chOff x="477352" y="6820401"/>
              <a:chExt cx="1391714" cy="325927"/>
            </a:xfrm>
          </xdr:grpSpPr>
          <xdr:sp macro="" textlink="">
            <xdr:nvSpPr>
              <xdr:cNvPr id="28" name="Shape 248"/>
              <xdr:cNvSpPr/>
            </xdr:nvSpPr>
            <xdr:spPr>
              <a:xfrm>
                <a:off x="477352" y="6820401"/>
                <a:ext cx="1391714" cy="325927"/>
              </a:xfrm>
              <a:prstGeom prst="rect">
                <a:avLst/>
              </a:prstGeom>
              <a:blipFill rotWithShape="1">
                <a:blip xmlns:r="http://schemas.openxmlformats.org/officeDocument/2006/relationships" r:embed="rId2">
                  <a:alphaModFix/>
                </a:blip>
                <a:tile tx="0" ty="0" sx="100000" sy="100000" flip="none" algn="tl"/>
              </a:blipFill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29" name="Shape 249"/>
              <xdr:cNvCxnSpPr/>
            </xdr:nvCxnSpPr>
            <xdr:spPr>
              <a:xfrm rot="10800000" flipH="1">
                <a:off x="612306" y="7050935"/>
                <a:ext cx="1113372" cy="7949"/>
              </a:xfrm>
              <a:prstGeom prst="straightConnector1">
                <a:avLst/>
              </a:prstGeom>
              <a:noFill/>
              <a:ln w="1905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sp macro="" textlink="">
            <xdr:nvSpPr>
              <xdr:cNvPr id="30" name="Shape 250"/>
              <xdr:cNvSpPr/>
            </xdr:nvSpPr>
            <xdr:spPr>
              <a:xfrm>
                <a:off x="603872" y="6979390"/>
                <a:ext cx="50608" cy="47697"/>
              </a:xfrm>
              <a:prstGeom prst="ellipse">
                <a:avLst/>
              </a:prstGeom>
              <a:solidFill>
                <a:srgbClr val="FF0000"/>
              </a:solidFill>
              <a:ln w="2540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1" name="Shape 251"/>
              <xdr:cNvSpPr/>
            </xdr:nvSpPr>
            <xdr:spPr>
              <a:xfrm>
                <a:off x="873780" y="6979390"/>
                <a:ext cx="59042" cy="47697"/>
              </a:xfrm>
              <a:prstGeom prst="ellipse">
                <a:avLst/>
              </a:prstGeom>
              <a:solidFill>
                <a:srgbClr val="FF0000"/>
              </a:solidFill>
              <a:ln w="2540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2" name="Shape 252"/>
              <xdr:cNvSpPr/>
            </xdr:nvSpPr>
            <xdr:spPr>
              <a:xfrm>
                <a:off x="1152123" y="6979390"/>
                <a:ext cx="50608" cy="47697"/>
              </a:xfrm>
              <a:prstGeom prst="ellipse">
                <a:avLst/>
              </a:prstGeom>
              <a:solidFill>
                <a:srgbClr val="FF0000"/>
              </a:solidFill>
              <a:ln w="2540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3" name="Shape 253"/>
              <xdr:cNvSpPr/>
            </xdr:nvSpPr>
            <xdr:spPr>
              <a:xfrm>
                <a:off x="1430466" y="6979390"/>
                <a:ext cx="42173" cy="47697"/>
              </a:xfrm>
              <a:prstGeom prst="ellipse">
                <a:avLst/>
              </a:prstGeom>
              <a:solidFill>
                <a:srgbClr val="FF0000"/>
              </a:solidFill>
              <a:ln w="2540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4" name="Shape 254"/>
              <xdr:cNvSpPr/>
            </xdr:nvSpPr>
            <xdr:spPr>
              <a:xfrm>
                <a:off x="1658201" y="6995288"/>
                <a:ext cx="50608" cy="31798"/>
              </a:xfrm>
              <a:prstGeom prst="ellipse">
                <a:avLst/>
              </a:prstGeom>
              <a:solidFill>
                <a:srgbClr val="FF0000"/>
              </a:solidFill>
              <a:ln w="2540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sp macro="" textlink="">
          <xdr:nvSpPr>
            <xdr:cNvPr id="19" name="Shape 255"/>
            <xdr:cNvSpPr/>
          </xdr:nvSpPr>
          <xdr:spPr>
            <a:xfrm>
              <a:off x="1003484" y="5549565"/>
              <a:ext cx="430166" cy="278231"/>
            </a:xfrm>
            <a:custGeom>
              <a:avLst/>
              <a:gdLst/>
              <a:ahLst/>
              <a:cxnLst/>
              <a:rect l="l" t="t" r="r" b="b"/>
              <a:pathLst>
                <a:path w="436145" h="275724" extrusionOk="0">
                  <a:moveTo>
                    <a:pt x="0" y="275724"/>
                  </a:moveTo>
                  <a:lnTo>
                    <a:pt x="0" y="0"/>
                  </a:lnTo>
                  <a:lnTo>
                    <a:pt x="150395" y="75198"/>
                  </a:lnTo>
                  <a:lnTo>
                    <a:pt x="345908" y="95250"/>
                  </a:lnTo>
                  <a:lnTo>
                    <a:pt x="386013" y="115303"/>
                  </a:lnTo>
                  <a:lnTo>
                    <a:pt x="436145" y="70185"/>
                  </a:lnTo>
                  <a:lnTo>
                    <a:pt x="436145" y="275724"/>
                  </a:lnTo>
                  <a:lnTo>
                    <a:pt x="0" y="275724"/>
                  </a:lnTo>
                  <a:close/>
                </a:path>
              </a:pathLst>
            </a:custGeom>
            <a:blipFill rotWithShape="1">
              <a:blip xmlns:r="http://schemas.openxmlformats.org/officeDocument/2006/relationships" r:embed="rId2">
                <a:alphaModFix/>
              </a:blip>
              <a:tile tx="0" ty="0" sx="100000" sy="100000" flip="none" algn="tl"/>
            </a:blipFill>
            <a:ln w="9525" cap="flat" cmpd="sng">
              <a:solidFill>
                <a:srgbClr val="395E89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56"/>
            <xdr:cNvCxnSpPr/>
          </xdr:nvCxnSpPr>
          <xdr:spPr>
            <a:xfrm>
              <a:off x="488971" y="6304762"/>
              <a:ext cx="1391715" cy="7949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  <xdr:cxnSp macro="">
          <xdr:nvCxnSpPr>
            <xdr:cNvPr id="21" name="Shape 257"/>
            <xdr:cNvCxnSpPr/>
          </xdr:nvCxnSpPr>
          <xdr:spPr>
            <a:xfrm rot="5400000">
              <a:off x="-307821" y="7191125"/>
              <a:ext cx="1391153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  <xdr:sp macro="" textlink="">
          <xdr:nvSpPr>
            <xdr:cNvPr id="22" name="Shape 258"/>
            <xdr:cNvSpPr/>
          </xdr:nvSpPr>
          <xdr:spPr>
            <a:xfrm rot="5400000">
              <a:off x="1690720" y="7863189"/>
              <a:ext cx="270281" cy="126520"/>
            </a:xfrm>
            <a:prstGeom prst="rightBrace">
              <a:avLst>
                <a:gd name="adj1" fmla="val 8333"/>
                <a:gd name="adj2" fmla="val 52703"/>
              </a:avLst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3" name="Shape 259"/>
            <xdr:cNvSpPr txBox="1"/>
          </xdr:nvSpPr>
          <xdr:spPr>
            <a:xfrm>
              <a:off x="1475823" y="8156982"/>
              <a:ext cx="775986" cy="17488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Clear Cover</a:t>
              </a:r>
              <a:endParaRPr sz="1400"/>
            </a:p>
          </xdr:txBody>
        </xdr:sp>
        <xdr:sp macro="" textlink="">
          <xdr:nvSpPr>
            <xdr:cNvPr id="24" name="Shape 260"/>
            <xdr:cNvSpPr txBox="1"/>
          </xdr:nvSpPr>
          <xdr:spPr>
            <a:xfrm>
              <a:off x="25066" y="7075858"/>
              <a:ext cx="455470" cy="18283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W</a:t>
              </a:r>
              <a:endParaRPr sz="1400"/>
            </a:p>
          </xdr:txBody>
        </xdr:sp>
        <xdr:sp macro="" textlink="">
          <xdr:nvSpPr>
            <xdr:cNvPr id="25" name="Shape 261"/>
            <xdr:cNvSpPr txBox="1"/>
          </xdr:nvSpPr>
          <xdr:spPr>
            <a:xfrm>
              <a:off x="919137" y="6161672"/>
              <a:ext cx="463905" cy="16693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</a:t>
              </a:r>
              <a:endParaRPr sz="1400"/>
            </a:p>
          </xdr:txBody>
        </xdr:sp>
        <xdr:sp macro="" textlink="">
          <xdr:nvSpPr>
            <xdr:cNvPr id="26" name="Shape 262"/>
            <xdr:cNvSpPr/>
          </xdr:nvSpPr>
          <xdr:spPr>
            <a:xfrm>
              <a:off x="1787905" y="6622740"/>
              <a:ext cx="463905" cy="1128821"/>
            </a:xfrm>
            <a:prstGeom prst="rightBrace">
              <a:avLst>
                <a:gd name="adj1" fmla="val 8333"/>
                <a:gd name="adj2" fmla="val 50000"/>
              </a:avLst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7" name="Shape 263"/>
            <xdr:cNvSpPr txBox="1"/>
          </xdr:nvSpPr>
          <xdr:spPr>
            <a:xfrm>
              <a:off x="1956597" y="6845324"/>
              <a:ext cx="767552" cy="18283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# of Bars per Side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137160</xdr:colOff>
      <xdr:row>2</xdr:row>
      <xdr:rowOff>167640</xdr:rowOff>
    </xdr:from>
    <xdr:to>
      <xdr:col>21</xdr:col>
      <xdr:colOff>383941</xdr:colOff>
      <xdr:row>14</xdr:row>
      <xdr:rowOff>133062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3160" y="533400"/>
          <a:ext cx="6952381" cy="2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443345</xdr:colOff>
      <xdr:row>16</xdr:row>
      <xdr:rowOff>48499</xdr:rowOff>
    </xdr:from>
    <xdr:ext cx="5399316" cy="3026203"/>
    <xdr:grpSp>
      <xdr:nvGrpSpPr>
        <xdr:cNvPr id="2" name="Shape 2"/>
        <xdr:cNvGrpSpPr/>
      </xdr:nvGrpSpPr>
      <xdr:grpSpPr>
        <a:xfrm>
          <a:off x="7029202" y="3031185"/>
          <a:ext cx="5399316" cy="3026203"/>
          <a:chOff x="4283963" y="3103729"/>
          <a:chExt cx="2736471" cy="1352539"/>
        </a:xfrm>
      </xdr:grpSpPr>
      <xdr:grpSp>
        <xdr:nvGrpSpPr>
          <xdr:cNvPr id="3" name="Shape 355"/>
          <xdr:cNvGrpSpPr/>
        </xdr:nvGrpSpPr>
        <xdr:grpSpPr>
          <a:xfrm>
            <a:off x="4283963" y="3103729"/>
            <a:ext cx="2736471" cy="1352539"/>
            <a:chOff x="371475" y="16026144"/>
            <a:chExt cx="2268762" cy="1659075"/>
          </a:xfrm>
        </xdr:grpSpPr>
        <xdr:sp macro="" textlink="">
          <xdr:nvSpPr>
            <xdr:cNvPr id="4" name="Shape 4"/>
            <xdr:cNvSpPr/>
          </xdr:nvSpPr>
          <xdr:spPr>
            <a:xfrm>
              <a:off x="371475" y="16026144"/>
              <a:ext cx="1761025" cy="16590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356"/>
            <xdr:cNvGrpSpPr/>
          </xdr:nvGrpSpPr>
          <xdr:grpSpPr>
            <a:xfrm>
              <a:off x="371475" y="16026144"/>
              <a:ext cx="2268762" cy="1599410"/>
              <a:chOff x="371475" y="16035339"/>
              <a:chExt cx="2266909" cy="1593113"/>
            </a:xfrm>
          </xdr:grpSpPr>
          <xdr:sp macro="" textlink="">
            <xdr:nvSpPr>
              <xdr:cNvPr id="13" name="Shape 357"/>
              <xdr:cNvSpPr/>
            </xdr:nvSpPr>
            <xdr:spPr>
              <a:xfrm>
                <a:off x="371475" y="16861618"/>
                <a:ext cx="1309468" cy="328907"/>
              </a:xfrm>
              <a:prstGeom prst="rect">
                <a:avLst/>
              </a:prstGeom>
              <a:blipFill rotWithShape="1">
                <a:blip xmlns:r="http://schemas.openxmlformats.org/officeDocument/2006/relationships" r:embed="rId1"/>
                <a:tile tx="0" ty="0" sx="100000" sy="100000" flip="none" algn="tl"/>
              </a:blipFill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358"/>
              <xdr:cNvSpPr/>
            </xdr:nvSpPr>
            <xdr:spPr>
              <a:xfrm>
                <a:off x="813420" y="16588865"/>
                <a:ext cx="409209" cy="272752"/>
              </a:xfrm>
              <a:custGeom>
                <a:avLst/>
                <a:gdLst/>
                <a:ahLst/>
                <a:cxnLst/>
                <a:rect l="l" t="t" r="r" b="b"/>
                <a:pathLst>
                  <a:path w="436145" h="275724" extrusionOk="0">
                    <a:moveTo>
                      <a:pt x="0" y="275724"/>
                    </a:moveTo>
                    <a:lnTo>
                      <a:pt x="0" y="0"/>
                    </a:lnTo>
                    <a:lnTo>
                      <a:pt x="150395" y="75198"/>
                    </a:lnTo>
                    <a:lnTo>
                      <a:pt x="345908" y="95250"/>
                    </a:lnTo>
                    <a:lnTo>
                      <a:pt x="386013" y="115303"/>
                    </a:lnTo>
                    <a:lnTo>
                      <a:pt x="436145" y="70185"/>
                    </a:lnTo>
                    <a:lnTo>
                      <a:pt x="436145" y="275724"/>
                    </a:lnTo>
                    <a:lnTo>
                      <a:pt x="0" y="275724"/>
                    </a:lnTo>
                    <a:close/>
                  </a:path>
                </a:pathLst>
              </a:custGeom>
              <a:blipFill rotWithShape="1">
                <a:blip xmlns:r="http://schemas.openxmlformats.org/officeDocument/2006/relationships" r:embed="rId1"/>
                <a:tile tx="0" ty="0" sx="100000" sy="100000" flip="none" algn="tl"/>
              </a:blipFill>
              <a:ln w="9525" cap="flat" cmpd="sng">
                <a:solidFill>
                  <a:srgbClr val="395E89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5" name="Shape 359"/>
              <xdr:cNvCxnSpPr/>
            </xdr:nvCxnSpPr>
            <xdr:spPr>
              <a:xfrm>
                <a:off x="510606" y="17086237"/>
                <a:ext cx="376472" cy="16044"/>
              </a:xfrm>
              <a:prstGeom prst="straightConnector1">
                <a:avLst/>
              </a:prstGeom>
              <a:noFill/>
              <a:ln w="1905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6" name="Shape 360"/>
              <xdr:cNvCxnSpPr/>
            </xdr:nvCxnSpPr>
            <xdr:spPr>
              <a:xfrm rot="5400000" flipH="1">
                <a:off x="333065" y="16564637"/>
                <a:ext cx="1058920" cy="16368"/>
              </a:xfrm>
              <a:prstGeom prst="straightConnector1">
                <a:avLst/>
              </a:prstGeom>
              <a:noFill/>
              <a:ln w="1905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grpSp>
            <xdr:nvGrpSpPr>
              <xdr:cNvPr id="17" name="Shape 361"/>
              <xdr:cNvGrpSpPr/>
            </xdr:nvGrpSpPr>
            <xdr:grpSpPr>
              <a:xfrm flipH="1">
                <a:off x="1140788" y="16035339"/>
                <a:ext cx="376472" cy="1042876"/>
                <a:chOff x="662775" y="16207979"/>
                <a:chExt cx="376472" cy="1042876"/>
              </a:xfrm>
            </xdr:grpSpPr>
            <xdr:cxnSp macro="">
              <xdr:nvCxnSpPr>
                <xdr:cNvPr id="20" name="Shape 362"/>
                <xdr:cNvCxnSpPr/>
              </xdr:nvCxnSpPr>
              <xdr:spPr>
                <a:xfrm>
                  <a:off x="662775" y="17242833"/>
                  <a:ext cx="368288" cy="8022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" name="Shape 363"/>
                <xdr:cNvCxnSpPr/>
              </xdr:nvCxnSpPr>
              <xdr:spPr>
                <a:xfrm rot="-5400000">
                  <a:off x="513717" y="16725325"/>
                  <a:ext cx="1042876" cy="8184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cxnSp macro="">
            <xdr:nvCxnSpPr>
              <xdr:cNvPr id="18" name="Shape 364"/>
              <xdr:cNvCxnSpPr/>
            </xdr:nvCxnSpPr>
            <xdr:spPr>
              <a:xfrm>
                <a:off x="1157156" y="17254701"/>
                <a:ext cx="384656" cy="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stealth" w="med" len="med"/>
                <a:tailEnd type="stealth" w="med" len="med"/>
              </a:ln>
            </xdr:spPr>
          </xdr:cxnSp>
          <xdr:sp macro="" textlink="">
            <xdr:nvSpPr>
              <xdr:cNvPr id="19" name="Shape 365"/>
              <xdr:cNvSpPr txBox="1"/>
            </xdr:nvSpPr>
            <xdr:spPr>
              <a:xfrm>
                <a:off x="1091575" y="17283501"/>
                <a:ext cx="1546809" cy="34495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End Hook/ L hook</a:t>
                </a:r>
                <a:endParaRPr sz="1400"/>
              </a:p>
            </xdr:txBody>
          </xdr:sp>
        </xdr:grpSp>
        <xdr:cxnSp macro="">
          <xdr:nvCxnSpPr>
            <xdr:cNvPr id="6" name="Shape 366"/>
            <xdr:cNvCxnSpPr/>
          </xdr:nvCxnSpPr>
          <xdr:spPr>
            <a:xfrm rot="10800000" flipH="1">
              <a:off x="821972" y="17008711"/>
              <a:ext cx="368589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7" name="Shape 367"/>
            <xdr:cNvCxnSpPr/>
          </xdr:nvCxnSpPr>
          <xdr:spPr>
            <a:xfrm rot="10800000" flipH="1">
              <a:off x="821972" y="16960388"/>
              <a:ext cx="376780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8" name="Shape 368"/>
            <xdr:cNvCxnSpPr/>
          </xdr:nvCxnSpPr>
          <xdr:spPr>
            <a:xfrm rot="10800000" flipH="1">
              <a:off x="821972" y="16912065"/>
              <a:ext cx="376780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" name="Shape 369"/>
            <xdr:cNvCxnSpPr/>
          </xdr:nvCxnSpPr>
          <xdr:spPr>
            <a:xfrm>
              <a:off x="821972" y="16823473"/>
              <a:ext cx="376780" cy="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10" name="Shape 370"/>
            <xdr:cNvCxnSpPr/>
          </xdr:nvCxnSpPr>
          <xdr:spPr>
            <a:xfrm>
              <a:off x="830163" y="16742935"/>
              <a:ext cx="376780" cy="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11" name="Shape 371"/>
            <xdr:cNvCxnSpPr/>
          </xdr:nvCxnSpPr>
          <xdr:spPr>
            <a:xfrm rot="10800000" flipH="1">
              <a:off x="821972" y="16565751"/>
              <a:ext cx="376780" cy="16108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12" name="Shape 372"/>
            <xdr:cNvCxnSpPr/>
          </xdr:nvCxnSpPr>
          <xdr:spPr>
            <a:xfrm rot="10800000" flipH="1">
              <a:off x="830163" y="16420782"/>
              <a:ext cx="376780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7</xdr:col>
      <xdr:colOff>584861</xdr:colOff>
      <xdr:row>8</xdr:row>
      <xdr:rowOff>41563</xdr:rowOff>
    </xdr:from>
    <xdr:ext cx="1219200" cy="1088571"/>
    <xdr:grpSp>
      <xdr:nvGrpSpPr>
        <xdr:cNvPr id="22" name="Shape 2"/>
        <xdr:cNvGrpSpPr/>
      </xdr:nvGrpSpPr>
      <xdr:grpSpPr>
        <a:xfrm>
          <a:off x="8085118" y="1630877"/>
          <a:ext cx="1219200" cy="1088571"/>
          <a:chOff x="4012500" y="2846550"/>
          <a:chExt cx="2667000" cy="1866900"/>
        </a:xfrm>
      </xdr:grpSpPr>
      <xdr:grpSp>
        <xdr:nvGrpSpPr>
          <xdr:cNvPr id="23" name="Shape 305"/>
          <xdr:cNvGrpSpPr/>
        </xdr:nvGrpSpPr>
        <xdr:grpSpPr>
          <a:xfrm>
            <a:off x="4012500" y="2846550"/>
            <a:ext cx="2667000" cy="1866900"/>
            <a:chOff x="2971800" y="13582650"/>
            <a:chExt cx="2514600" cy="2200275"/>
          </a:xfrm>
        </xdr:grpSpPr>
        <xdr:sp macro="" textlink="">
          <xdr:nvSpPr>
            <xdr:cNvPr id="24" name="Shape 4"/>
            <xdr:cNvSpPr/>
          </xdr:nvSpPr>
          <xdr:spPr>
            <a:xfrm>
              <a:off x="2971800" y="13582650"/>
              <a:ext cx="2514600" cy="2200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5" name="Shape 306"/>
            <xdr:cNvSpPr/>
          </xdr:nvSpPr>
          <xdr:spPr>
            <a:xfrm>
              <a:off x="2971800" y="13582650"/>
              <a:ext cx="1966245" cy="1850773"/>
            </a:xfrm>
            <a:prstGeom prst="rect">
              <a:avLst/>
            </a:prstGeom>
            <a:blipFill rotWithShape="1">
              <a:blip xmlns:r="http://schemas.openxmlformats.org/officeDocument/2006/relationships" r:embed="rId1">
                <a:alphaModFix/>
              </a:blip>
              <a:tile tx="0" ty="0" sx="100000" sy="100000" flip="none" algn="tl"/>
            </a:blipFill>
            <a:ln w="9525" cap="flat" cmpd="sng">
              <a:solidFill>
                <a:srgbClr val="395E89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6" name="Shape 307"/>
            <xdr:cNvSpPr txBox="1"/>
          </xdr:nvSpPr>
          <xdr:spPr>
            <a:xfrm>
              <a:off x="3692495" y="15441366"/>
              <a:ext cx="509187" cy="34155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cs typeface="Calibri"/>
                  <a:sym typeface="Calibri"/>
                </a:rPr>
                <a:t>B</a:t>
              </a: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7" name="Shape 308"/>
            <xdr:cNvSpPr txBox="1"/>
          </xdr:nvSpPr>
          <xdr:spPr>
            <a:xfrm>
              <a:off x="4985047" y="14353143"/>
              <a:ext cx="501353" cy="34155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cs typeface="Calibri"/>
                  <a:sym typeface="Calibri"/>
                </a:rPr>
                <a:t>H</a:t>
              </a:r>
            </a:p>
          </xdr:txBody>
        </xdr:sp>
        <xdr:sp macro="" textlink="">
          <xdr:nvSpPr>
            <xdr:cNvPr id="28" name="Shape 309"/>
            <xdr:cNvSpPr/>
          </xdr:nvSpPr>
          <xdr:spPr>
            <a:xfrm>
              <a:off x="3245978" y="13805060"/>
              <a:ext cx="1441391" cy="1437726"/>
            </a:xfrm>
            <a:prstGeom prst="roundRect">
              <a:avLst>
                <a:gd name="adj" fmla="val 10044"/>
              </a:avLst>
            </a:prstGeom>
            <a:noFill/>
            <a:ln w="38100" cap="flat" cmpd="sng">
              <a:solidFill>
                <a:srgbClr val="00B0F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9" name="Shape 310"/>
            <xdr:cNvSpPr/>
          </xdr:nvSpPr>
          <xdr:spPr>
            <a:xfrm>
              <a:off x="3300813" y="13828890"/>
              <a:ext cx="180174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0" name="Shape 311"/>
            <xdr:cNvSpPr/>
          </xdr:nvSpPr>
          <xdr:spPr>
            <a:xfrm>
              <a:off x="4421024" y="13852720"/>
              <a:ext cx="188007" cy="206524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1" name="Shape 312"/>
            <xdr:cNvSpPr/>
          </xdr:nvSpPr>
          <xdr:spPr>
            <a:xfrm>
              <a:off x="3285146" y="14980659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2" name="Shape 313"/>
            <xdr:cNvSpPr/>
          </xdr:nvSpPr>
          <xdr:spPr>
            <a:xfrm>
              <a:off x="4421024" y="14980659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14"/>
            <xdr:cNvSpPr/>
          </xdr:nvSpPr>
          <xdr:spPr>
            <a:xfrm>
              <a:off x="3888336" y="14972715"/>
              <a:ext cx="188007" cy="206524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4" name="Shape 315"/>
            <xdr:cNvSpPr/>
          </xdr:nvSpPr>
          <xdr:spPr>
            <a:xfrm>
              <a:off x="3285146" y="14408746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5" name="Shape 316"/>
            <xdr:cNvSpPr/>
          </xdr:nvSpPr>
          <xdr:spPr>
            <a:xfrm>
              <a:off x="3841335" y="13836833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6" name="Shape 317"/>
            <xdr:cNvSpPr/>
          </xdr:nvSpPr>
          <xdr:spPr>
            <a:xfrm>
              <a:off x="4444525" y="14400803"/>
              <a:ext cx="180174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7" name="Shape 318"/>
            <xdr:cNvSpPr/>
          </xdr:nvSpPr>
          <xdr:spPr>
            <a:xfrm rot="5400000">
              <a:off x="4626424" y="15359880"/>
              <a:ext cx="317729" cy="274178"/>
            </a:xfrm>
            <a:prstGeom prst="rightBrace">
              <a:avLst>
                <a:gd name="adj1" fmla="val 8333"/>
                <a:gd name="adj2" fmla="val 50000"/>
              </a:avLst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10</xdr:col>
      <xdr:colOff>744070</xdr:colOff>
      <xdr:row>16</xdr:row>
      <xdr:rowOff>42795</xdr:rowOff>
    </xdr:from>
    <xdr:ext cx="5399316" cy="3026203"/>
    <xdr:grpSp>
      <xdr:nvGrpSpPr>
        <xdr:cNvPr id="74" name="Shape 2"/>
        <xdr:cNvGrpSpPr/>
      </xdr:nvGrpSpPr>
      <xdr:grpSpPr>
        <a:xfrm>
          <a:off x="11455613" y="3025481"/>
          <a:ext cx="5399316" cy="3026203"/>
          <a:chOff x="4283963" y="3103729"/>
          <a:chExt cx="2736471" cy="1352539"/>
        </a:xfrm>
      </xdr:grpSpPr>
      <xdr:grpSp>
        <xdr:nvGrpSpPr>
          <xdr:cNvPr id="75" name="Shape 355"/>
          <xdr:cNvGrpSpPr/>
        </xdr:nvGrpSpPr>
        <xdr:grpSpPr>
          <a:xfrm>
            <a:off x="4283963" y="3103729"/>
            <a:ext cx="2736471" cy="1352539"/>
            <a:chOff x="371475" y="16026144"/>
            <a:chExt cx="2268762" cy="1659075"/>
          </a:xfrm>
        </xdr:grpSpPr>
        <xdr:sp macro="" textlink="">
          <xdr:nvSpPr>
            <xdr:cNvPr id="76" name="Shape 4"/>
            <xdr:cNvSpPr/>
          </xdr:nvSpPr>
          <xdr:spPr>
            <a:xfrm>
              <a:off x="371475" y="16026144"/>
              <a:ext cx="1761025" cy="16590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" name="Shape 356"/>
            <xdr:cNvGrpSpPr/>
          </xdr:nvGrpSpPr>
          <xdr:grpSpPr>
            <a:xfrm>
              <a:off x="371475" y="16026144"/>
              <a:ext cx="2268762" cy="1599410"/>
              <a:chOff x="371475" y="16035339"/>
              <a:chExt cx="2266909" cy="1593113"/>
            </a:xfrm>
          </xdr:grpSpPr>
          <xdr:sp macro="" textlink="">
            <xdr:nvSpPr>
              <xdr:cNvPr id="85" name="Shape 357"/>
              <xdr:cNvSpPr/>
            </xdr:nvSpPr>
            <xdr:spPr>
              <a:xfrm>
                <a:off x="371475" y="16861618"/>
                <a:ext cx="1309468" cy="328907"/>
              </a:xfrm>
              <a:prstGeom prst="rect">
                <a:avLst/>
              </a:prstGeom>
              <a:blipFill rotWithShape="1">
                <a:blip xmlns:r="http://schemas.openxmlformats.org/officeDocument/2006/relationships" r:embed="rId1"/>
                <a:tile tx="0" ty="0" sx="100000" sy="100000" flip="none" algn="tl"/>
              </a:blipFill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358"/>
              <xdr:cNvSpPr/>
            </xdr:nvSpPr>
            <xdr:spPr>
              <a:xfrm>
                <a:off x="813420" y="16588865"/>
                <a:ext cx="409209" cy="272752"/>
              </a:xfrm>
              <a:custGeom>
                <a:avLst/>
                <a:gdLst/>
                <a:ahLst/>
                <a:cxnLst/>
                <a:rect l="l" t="t" r="r" b="b"/>
                <a:pathLst>
                  <a:path w="436145" h="275724" extrusionOk="0">
                    <a:moveTo>
                      <a:pt x="0" y="275724"/>
                    </a:moveTo>
                    <a:lnTo>
                      <a:pt x="0" y="0"/>
                    </a:lnTo>
                    <a:lnTo>
                      <a:pt x="150395" y="75198"/>
                    </a:lnTo>
                    <a:lnTo>
                      <a:pt x="345908" y="95250"/>
                    </a:lnTo>
                    <a:lnTo>
                      <a:pt x="386013" y="115303"/>
                    </a:lnTo>
                    <a:lnTo>
                      <a:pt x="436145" y="70185"/>
                    </a:lnTo>
                    <a:lnTo>
                      <a:pt x="436145" y="275724"/>
                    </a:lnTo>
                    <a:lnTo>
                      <a:pt x="0" y="275724"/>
                    </a:lnTo>
                    <a:close/>
                  </a:path>
                </a:pathLst>
              </a:custGeom>
              <a:blipFill rotWithShape="1">
                <a:blip xmlns:r="http://schemas.openxmlformats.org/officeDocument/2006/relationships" r:embed="rId1"/>
                <a:tile tx="0" ty="0" sx="100000" sy="100000" flip="none" algn="tl"/>
              </a:blipFill>
              <a:ln w="9525" cap="flat" cmpd="sng">
                <a:solidFill>
                  <a:srgbClr val="395E89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87" name="Shape 359"/>
              <xdr:cNvCxnSpPr/>
            </xdr:nvCxnSpPr>
            <xdr:spPr>
              <a:xfrm>
                <a:off x="510606" y="17086237"/>
                <a:ext cx="376472" cy="16044"/>
              </a:xfrm>
              <a:prstGeom prst="straightConnector1">
                <a:avLst/>
              </a:prstGeom>
              <a:noFill/>
              <a:ln w="1905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88" name="Shape 360"/>
              <xdr:cNvCxnSpPr/>
            </xdr:nvCxnSpPr>
            <xdr:spPr>
              <a:xfrm rot="5400000" flipH="1">
                <a:off x="333065" y="16564637"/>
                <a:ext cx="1058920" cy="16368"/>
              </a:xfrm>
              <a:prstGeom prst="straightConnector1">
                <a:avLst/>
              </a:prstGeom>
              <a:noFill/>
              <a:ln w="19050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grpSp>
            <xdr:nvGrpSpPr>
              <xdr:cNvPr id="89" name="Shape 361"/>
              <xdr:cNvGrpSpPr/>
            </xdr:nvGrpSpPr>
            <xdr:grpSpPr>
              <a:xfrm flipH="1">
                <a:off x="1140788" y="16035339"/>
                <a:ext cx="376472" cy="1042876"/>
                <a:chOff x="662775" y="16207979"/>
                <a:chExt cx="376472" cy="1042876"/>
              </a:xfrm>
            </xdr:grpSpPr>
            <xdr:cxnSp macro="">
              <xdr:nvCxnSpPr>
                <xdr:cNvPr id="92" name="Shape 362"/>
                <xdr:cNvCxnSpPr/>
              </xdr:nvCxnSpPr>
              <xdr:spPr>
                <a:xfrm>
                  <a:off x="662775" y="17242833"/>
                  <a:ext cx="368288" cy="8022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363"/>
                <xdr:cNvCxnSpPr/>
              </xdr:nvCxnSpPr>
              <xdr:spPr>
                <a:xfrm rot="-5400000">
                  <a:off x="513717" y="16725325"/>
                  <a:ext cx="1042876" cy="8184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rgbClr val="FF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cxnSp macro="">
            <xdr:nvCxnSpPr>
              <xdr:cNvPr id="90" name="Shape 364"/>
              <xdr:cNvCxnSpPr/>
            </xdr:nvCxnSpPr>
            <xdr:spPr>
              <a:xfrm>
                <a:off x="1157156" y="17254701"/>
                <a:ext cx="384656" cy="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stealth" w="med" len="med"/>
                <a:tailEnd type="stealth" w="med" len="med"/>
              </a:ln>
            </xdr:spPr>
          </xdr:cxnSp>
          <xdr:sp macro="" textlink="">
            <xdr:nvSpPr>
              <xdr:cNvPr id="91" name="Shape 365"/>
              <xdr:cNvSpPr txBox="1"/>
            </xdr:nvSpPr>
            <xdr:spPr>
              <a:xfrm>
                <a:off x="1091575" y="17283501"/>
                <a:ext cx="1546809" cy="34495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End Hook/ L hook</a:t>
                </a:r>
                <a:endParaRPr sz="1400"/>
              </a:p>
            </xdr:txBody>
          </xdr:sp>
        </xdr:grpSp>
        <xdr:cxnSp macro="">
          <xdr:nvCxnSpPr>
            <xdr:cNvPr id="78" name="Shape 366"/>
            <xdr:cNvCxnSpPr/>
          </xdr:nvCxnSpPr>
          <xdr:spPr>
            <a:xfrm rot="10800000" flipH="1">
              <a:off x="821972" y="17008711"/>
              <a:ext cx="368589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79" name="Shape 367"/>
            <xdr:cNvCxnSpPr/>
          </xdr:nvCxnSpPr>
          <xdr:spPr>
            <a:xfrm rot="10800000" flipH="1">
              <a:off x="821972" y="16960388"/>
              <a:ext cx="376780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80" name="Shape 368"/>
            <xdr:cNvCxnSpPr/>
          </xdr:nvCxnSpPr>
          <xdr:spPr>
            <a:xfrm rot="10800000" flipH="1">
              <a:off x="821972" y="16912065"/>
              <a:ext cx="376780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81" name="Shape 369"/>
            <xdr:cNvCxnSpPr/>
          </xdr:nvCxnSpPr>
          <xdr:spPr>
            <a:xfrm>
              <a:off x="821972" y="16823473"/>
              <a:ext cx="376780" cy="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82" name="Shape 370"/>
            <xdr:cNvCxnSpPr/>
          </xdr:nvCxnSpPr>
          <xdr:spPr>
            <a:xfrm>
              <a:off x="830163" y="16742935"/>
              <a:ext cx="376780" cy="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83" name="Shape 371"/>
            <xdr:cNvCxnSpPr/>
          </xdr:nvCxnSpPr>
          <xdr:spPr>
            <a:xfrm rot="10800000" flipH="1">
              <a:off x="821972" y="16565751"/>
              <a:ext cx="376780" cy="16108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84" name="Shape 372"/>
            <xdr:cNvCxnSpPr/>
          </xdr:nvCxnSpPr>
          <xdr:spPr>
            <a:xfrm rot="10800000" flipH="1">
              <a:off x="830163" y="16420782"/>
              <a:ext cx="376780" cy="8054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12</xdr:col>
      <xdr:colOff>320810</xdr:colOff>
      <xdr:row>8</xdr:row>
      <xdr:rowOff>35859</xdr:rowOff>
    </xdr:from>
    <xdr:ext cx="1219200" cy="1088571"/>
    <xdr:grpSp>
      <xdr:nvGrpSpPr>
        <xdr:cNvPr id="94" name="Shape 2"/>
        <xdr:cNvGrpSpPr/>
      </xdr:nvGrpSpPr>
      <xdr:grpSpPr>
        <a:xfrm>
          <a:off x="12512810" y="1625173"/>
          <a:ext cx="1219200" cy="1088571"/>
          <a:chOff x="4012500" y="2846550"/>
          <a:chExt cx="2667000" cy="1866900"/>
        </a:xfrm>
      </xdr:grpSpPr>
      <xdr:grpSp>
        <xdr:nvGrpSpPr>
          <xdr:cNvPr id="95" name="Shape 305"/>
          <xdr:cNvGrpSpPr/>
        </xdr:nvGrpSpPr>
        <xdr:grpSpPr>
          <a:xfrm>
            <a:off x="4012500" y="2846550"/>
            <a:ext cx="2667000" cy="1866900"/>
            <a:chOff x="2971800" y="13582650"/>
            <a:chExt cx="2514600" cy="2200275"/>
          </a:xfrm>
        </xdr:grpSpPr>
        <xdr:sp macro="" textlink="">
          <xdr:nvSpPr>
            <xdr:cNvPr id="96" name="Shape 4"/>
            <xdr:cNvSpPr/>
          </xdr:nvSpPr>
          <xdr:spPr>
            <a:xfrm>
              <a:off x="2971800" y="13582650"/>
              <a:ext cx="2514600" cy="2200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7" name="Shape 306"/>
            <xdr:cNvSpPr/>
          </xdr:nvSpPr>
          <xdr:spPr>
            <a:xfrm>
              <a:off x="2971800" y="13582650"/>
              <a:ext cx="1966245" cy="1850773"/>
            </a:xfrm>
            <a:prstGeom prst="rect">
              <a:avLst/>
            </a:prstGeom>
            <a:blipFill rotWithShape="1">
              <a:blip xmlns:r="http://schemas.openxmlformats.org/officeDocument/2006/relationships" r:embed="rId1">
                <a:alphaModFix/>
              </a:blip>
              <a:tile tx="0" ty="0" sx="100000" sy="100000" flip="none" algn="tl"/>
            </a:blipFill>
            <a:ln w="9525" cap="flat" cmpd="sng">
              <a:solidFill>
                <a:srgbClr val="395E89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8" name="Shape 307"/>
            <xdr:cNvSpPr txBox="1"/>
          </xdr:nvSpPr>
          <xdr:spPr>
            <a:xfrm>
              <a:off x="3692495" y="15441366"/>
              <a:ext cx="509187" cy="34155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cs typeface="Calibri"/>
                  <a:sym typeface="Calibri"/>
                </a:rPr>
                <a:t>B</a:t>
              </a: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9" name="Shape 308"/>
            <xdr:cNvSpPr txBox="1"/>
          </xdr:nvSpPr>
          <xdr:spPr>
            <a:xfrm>
              <a:off x="4985047" y="14353143"/>
              <a:ext cx="501353" cy="34155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cs typeface="Calibri"/>
                  <a:sym typeface="Calibri"/>
                </a:rPr>
                <a:t>H</a:t>
              </a:r>
            </a:p>
          </xdr:txBody>
        </xdr:sp>
        <xdr:sp macro="" textlink="">
          <xdr:nvSpPr>
            <xdr:cNvPr id="100" name="Shape 309"/>
            <xdr:cNvSpPr/>
          </xdr:nvSpPr>
          <xdr:spPr>
            <a:xfrm rot="2612126">
              <a:off x="3390490" y="13951136"/>
              <a:ext cx="1151780" cy="1084775"/>
            </a:xfrm>
            <a:prstGeom prst="roundRect">
              <a:avLst>
                <a:gd name="adj" fmla="val 10044"/>
              </a:avLst>
            </a:prstGeom>
            <a:noFill/>
            <a:ln w="38100" cap="flat" cmpd="sng">
              <a:solidFill>
                <a:srgbClr val="00B0F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1" name="Shape 310"/>
            <xdr:cNvSpPr/>
          </xdr:nvSpPr>
          <xdr:spPr>
            <a:xfrm>
              <a:off x="3300813" y="13828890"/>
              <a:ext cx="180174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2" name="Shape 311"/>
            <xdr:cNvSpPr/>
          </xdr:nvSpPr>
          <xdr:spPr>
            <a:xfrm>
              <a:off x="4421024" y="13852720"/>
              <a:ext cx="188007" cy="206524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3" name="Shape 312"/>
            <xdr:cNvSpPr/>
          </xdr:nvSpPr>
          <xdr:spPr>
            <a:xfrm>
              <a:off x="3285146" y="14980659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4" name="Shape 313"/>
            <xdr:cNvSpPr/>
          </xdr:nvSpPr>
          <xdr:spPr>
            <a:xfrm>
              <a:off x="4421024" y="14980659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5" name="Shape 314"/>
            <xdr:cNvSpPr/>
          </xdr:nvSpPr>
          <xdr:spPr>
            <a:xfrm>
              <a:off x="3888336" y="14972715"/>
              <a:ext cx="188007" cy="206524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6" name="Shape 315"/>
            <xdr:cNvSpPr/>
          </xdr:nvSpPr>
          <xdr:spPr>
            <a:xfrm>
              <a:off x="3285146" y="14408746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7" name="Shape 316"/>
            <xdr:cNvSpPr/>
          </xdr:nvSpPr>
          <xdr:spPr>
            <a:xfrm>
              <a:off x="3841335" y="13836833"/>
              <a:ext cx="188007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8" name="Shape 317"/>
            <xdr:cNvSpPr/>
          </xdr:nvSpPr>
          <xdr:spPr>
            <a:xfrm>
              <a:off x="4444525" y="14400803"/>
              <a:ext cx="180174" cy="214467"/>
            </a:xfrm>
            <a:prstGeom prst="ellipse">
              <a:avLst/>
            </a:prstGeom>
            <a:solidFill>
              <a:srgbClr val="FF0000"/>
            </a:solidFill>
            <a:ln w="2540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9" name="Shape 318"/>
            <xdr:cNvSpPr/>
          </xdr:nvSpPr>
          <xdr:spPr>
            <a:xfrm rot="5400000">
              <a:off x="4626424" y="15359880"/>
              <a:ext cx="317729" cy="274178"/>
            </a:xfrm>
            <a:prstGeom prst="rightBrace">
              <a:avLst>
                <a:gd name="adj1" fmla="val 8333"/>
                <a:gd name="adj2" fmla="val 50000"/>
              </a:avLst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twoCellAnchor>
    <xdr:from>
      <xdr:col>12</xdr:col>
      <xdr:colOff>448236</xdr:colOff>
      <xdr:row>8</xdr:row>
      <xdr:rowOff>143436</xdr:rowOff>
    </xdr:from>
    <xdr:to>
      <xdr:col>13</xdr:col>
      <xdr:colOff>277516</xdr:colOff>
      <xdr:row>12</xdr:row>
      <xdr:rowOff>137565</xdr:rowOff>
    </xdr:to>
    <xdr:sp macro="" textlink="">
      <xdr:nvSpPr>
        <xdr:cNvPr id="110" name="Shape 309"/>
        <xdr:cNvSpPr/>
      </xdr:nvSpPr>
      <xdr:spPr>
        <a:xfrm>
          <a:off x="12640236" y="1766048"/>
          <a:ext cx="698856" cy="711305"/>
        </a:xfrm>
        <a:prstGeom prst="roundRect">
          <a:avLst>
            <a:gd name="adj" fmla="val 10044"/>
          </a:avLst>
        </a:prstGeom>
        <a:noFill/>
        <a:ln w="381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472440</xdr:colOff>
      <xdr:row>29</xdr:row>
      <xdr:rowOff>53340</xdr:rowOff>
    </xdr:from>
    <xdr:to>
      <xdr:col>7</xdr:col>
      <xdr:colOff>769900</xdr:colOff>
      <xdr:row>41</xdr:row>
      <xdr:rowOff>36142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240" y="8161020"/>
          <a:ext cx="3231160" cy="2530059"/>
        </a:xfrm>
        <a:prstGeom prst="rect">
          <a:avLst/>
        </a:prstGeom>
      </xdr:spPr>
    </xdr:pic>
    <xdr:clientData/>
  </xdr:twoCellAnchor>
  <xdr:twoCellAnchor editAs="oneCell">
    <xdr:from>
      <xdr:col>4</xdr:col>
      <xdr:colOff>500743</xdr:colOff>
      <xdr:row>48</xdr:row>
      <xdr:rowOff>152400</xdr:rowOff>
    </xdr:from>
    <xdr:to>
      <xdr:col>14</xdr:col>
      <xdr:colOff>480697</xdr:colOff>
      <xdr:row>70</xdr:row>
      <xdr:rowOff>47194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9143" y="11811000"/>
          <a:ext cx="7360468" cy="4412364"/>
        </a:xfrm>
        <a:prstGeom prst="rect">
          <a:avLst/>
        </a:prstGeom>
      </xdr:spPr>
    </xdr:pic>
    <xdr:clientData/>
  </xdr:twoCellAnchor>
  <xdr:twoCellAnchor editAs="oneCell">
    <xdr:from>
      <xdr:col>4</xdr:col>
      <xdr:colOff>80682</xdr:colOff>
      <xdr:row>74</xdr:row>
      <xdr:rowOff>44824</xdr:rowOff>
    </xdr:from>
    <xdr:to>
      <xdr:col>12</xdr:col>
      <xdr:colOff>595223</xdr:colOff>
      <xdr:row>89</xdr:row>
      <xdr:rowOff>66942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9082" y="17221200"/>
          <a:ext cx="6359529" cy="31597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1</xdr:rowOff>
    </xdr:from>
    <xdr:ext cx="4410635" cy="3594848"/>
    <xdr:pic>
      <xdr:nvPicPr>
        <xdr:cNvPr id="2" name="image3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717177"/>
          <a:ext cx="4410635" cy="3594848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7326</xdr:colOff>
      <xdr:row>206</xdr:row>
      <xdr:rowOff>30302</xdr:rowOff>
    </xdr:from>
    <xdr:to>
      <xdr:col>11</xdr:col>
      <xdr:colOff>66639</xdr:colOff>
      <xdr:row>210</xdr:row>
      <xdr:rowOff>152023</xdr:rowOff>
    </xdr:to>
    <xdr:pic>
      <xdr:nvPicPr>
        <xdr:cNvPr id="2" name="Picture 1" descr="ey.png">
          <a:extLst>
            <a:ext uri="{FF2B5EF4-FFF2-40B4-BE49-F238E27FC236}">
              <a16:creationId xmlns="" xmlns:a16="http://schemas.microsoft.com/office/drawing/2014/main" id="{59625604-EA55-4617-BC61-9A11B43122CB}"/>
            </a:ext>
            <a:ext uri="{147F2762-F138-4A5C-976F-8EAC2B608ADB}">
              <a16:predDERef xmlns="" xmlns:a16="http://schemas.microsoft.com/office/drawing/2014/main" pred="{988DF15F-6DD0-FD49-B36F-59975383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086" y="47662922"/>
          <a:ext cx="1735713" cy="846964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125340</xdr:colOff>
      <xdr:row>0</xdr:row>
      <xdr:rowOff>19750</xdr:rowOff>
    </xdr:from>
    <xdr:to>
      <xdr:col>23</xdr:col>
      <xdr:colOff>1034841</xdr:colOff>
      <xdr:row>4</xdr:row>
      <xdr:rowOff>74889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EBB567B-2DCF-416E-9F1E-CF0829858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1111" y="19750"/>
          <a:ext cx="3500301" cy="75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 tint="-0.249977111117893"/>
  </sheetPr>
  <dimension ref="B2:T42"/>
  <sheetViews>
    <sheetView zoomScale="70" zoomScaleNormal="70" workbookViewId="0">
      <selection activeCell="N24" sqref="N24"/>
    </sheetView>
  </sheetViews>
  <sheetFormatPr defaultRowHeight="13.8" x14ac:dyDescent="0.3"/>
  <cols>
    <col min="1" max="2" width="8.88671875" style="1"/>
    <col min="3" max="3" width="16.33203125" style="1" customWidth="1"/>
    <col min="4" max="4" width="15.33203125" style="1" customWidth="1"/>
    <col min="5" max="5" width="17.44140625" style="1" customWidth="1"/>
    <col min="6" max="6" width="13.33203125" style="1" customWidth="1"/>
    <col min="7" max="7" width="12.88671875" style="1" customWidth="1"/>
    <col min="8" max="8" width="11.44140625" style="1" customWidth="1"/>
    <col min="9" max="9" width="14.109375" style="1" customWidth="1"/>
    <col min="10" max="10" width="15.44140625" style="1" customWidth="1"/>
    <col min="11" max="11" width="17.6640625" style="1" customWidth="1"/>
    <col min="12" max="12" width="14.109375" style="1" customWidth="1"/>
    <col min="13" max="13" width="10.5546875" style="1" customWidth="1"/>
    <col min="14" max="14" width="18.88671875" style="1" customWidth="1"/>
    <col min="15" max="15" width="14.88671875" style="1" customWidth="1"/>
    <col min="16" max="16" width="11.88671875" style="1" customWidth="1"/>
    <col min="17" max="17" width="10.5546875" style="1" customWidth="1"/>
    <col min="18" max="18" width="10.77734375" style="1" customWidth="1"/>
    <col min="19" max="19" width="12.77734375" style="1" customWidth="1"/>
    <col min="20" max="20" width="10.109375" style="1" customWidth="1"/>
    <col min="21" max="21" width="11.88671875" style="1" customWidth="1"/>
    <col min="22" max="22" width="13" style="1" customWidth="1"/>
    <col min="23" max="16384" width="8.88671875" style="1"/>
  </cols>
  <sheetData>
    <row r="2" spans="2:20" x14ac:dyDescent="0.3">
      <c r="D2" s="2" t="s">
        <v>0</v>
      </c>
    </row>
    <row r="3" spans="2:20" ht="27.6" x14ac:dyDescent="0.3">
      <c r="D3" s="3"/>
      <c r="E3" s="4" t="s">
        <v>1</v>
      </c>
    </row>
    <row r="4" spans="2:20" ht="27.6" x14ac:dyDescent="0.3">
      <c r="D4" s="5"/>
      <c r="E4" s="4" t="s">
        <v>2</v>
      </c>
    </row>
    <row r="6" spans="2:20" ht="15.6" x14ac:dyDescent="0.3">
      <c r="C6" s="383" t="s">
        <v>3</v>
      </c>
      <c r="D6" s="6" t="s">
        <v>4</v>
      </c>
      <c r="E6" s="7">
        <v>7850</v>
      </c>
      <c r="F6" s="6" t="s">
        <v>5</v>
      </c>
    </row>
    <row r="7" spans="2:20" x14ac:dyDescent="0.3">
      <c r="C7" s="383"/>
      <c r="D7" s="8" t="s">
        <v>6</v>
      </c>
      <c r="E7" s="9">
        <v>75</v>
      </c>
      <c r="F7" s="8" t="s">
        <v>7</v>
      </c>
    </row>
    <row r="8" spans="2:20" x14ac:dyDescent="0.3">
      <c r="C8" s="383"/>
      <c r="D8" s="10" t="s">
        <v>8</v>
      </c>
      <c r="E8" s="11">
        <v>6</v>
      </c>
      <c r="F8" s="10" t="s">
        <v>9</v>
      </c>
      <c r="G8" s="12"/>
    </row>
    <row r="9" spans="2:20" ht="27.6" x14ac:dyDescent="0.3">
      <c r="C9" s="383"/>
      <c r="D9" s="10" t="s">
        <v>10</v>
      </c>
      <c r="E9" s="9">
        <v>25</v>
      </c>
      <c r="F9" s="10" t="s">
        <v>11</v>
      </c>
      <c r="G9" s="12"/>
    </row>
    <row r="10" spans="2:20" ht="27.6" x14ac:dyDescent="0.3">
      <c r="C10" s="383"/>
      <c r="D10" s="10" t="s">
        <v>12</v>
      </c>
      <c r="E10" s="13">
        <f>IF(E9=25,1500,IF(E9=20,1060,IF(E9=30,1590,2650)))</f>
        <v>1500</v>
      </c>
      <c r="F10" s="10" t="s">
        <v>9</v>
      </c>
      <c r="G10" s="14"/>
    </row>
    <row r="11" spans="2:20" ht="27.6" x14ac:dyDescent="0.3">
      <c r="C11" s="383"/>
      <c r="D11" s="10" t="s">
        <v>13</v>
      </c>
      <c r="E11" s="7">
        <v>0.25</v>
      </c>
      <c r="F11" s="10" t="s">
        <v>9</v>
      </c>
      <c r="G11" s="14"/>
    </row>
    <row r="12" spans="2:20" x14ac:dyDescent="0.3">
      <c r="C12" s="14"/>
      <c r="D12" s="15"/>
      <c r="E12" s="16"/>
      <c r="F12" s="15"/>
      <c r="G12" s="14"/>
    </row>
    <row r="13" spans="2:20" x14ac:dyDescent="0.3">
      <c r="C13" s="384" t="s">
        <v>14</v>
      </c>
      <c r="D13" s="10" t="s">
        <v>15</v>
      </c>
      <c r="E13" s="17">
        <v>0.1</v>
      </c>
      <c r="F13" s="15"/>
      <c r="G13" s="14"/>
    </row>
    <row r="14" spans="2:20" x14ac:dyDescent="0.3">
      <c r="C14" s="384"/>
      <c r="D14" s="10" t="s">
        <v>16</v>
      </c>
      <c r="E14" s="17">
        <v>0.3</v>
      </c>
      <c r="F14" s="15"/>
      <c r="G14" s="14"/>
    </row>
    <row r="15" spans="2:20" x14ac:dyDescent="0.3">
      <c r="B15" s="14"/>
      <c r="C15" s="15"/>
      <c r="D15" s="16"/>
      <c r="E15" s="15"/>
      <c r="G15" s="14"/>
    </row>
    <row r="16" spans="2:20" ht="18" customHeight="1" x14ac:dyDescent="0.3">
      <c r="B16" s="377" t="s">
        <v>17</v>
      </c>
      <c r="C16" s="378"/>
      <c r="D16" s="378"/>
      <c r="E16" s="378"/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8"/>
      <c r="T16" s="379"/>
    </row>
    <row r="17" spans="2:20" ht="13.8" customHeight="1" x14ac:dyDescent="0.3">
      <c r="B17" s="385" t="s">
        <v>18</v>
      </c>
      <c r="C17" s="385" t="s">
        <v>19</v>
      </c>
      <c r="D17" s="386" t="s">
        <v>20</v>
      </c>
      <c r="E17" s="387"/>
      <c r="F17" s="387"/>
      <c r="G17" s="388"/>
      <c r="H17" s="385" t="s">
        <v>21</v>
      </c>
      <c r="I17" s="385"/>
      <c r="J17" s="385"/>
      <c r="K17" s="385"/>
      <c r="L17" s="385" t="s">
        <v>22</v>
      </c>
      <c r="M17" s="385"/>
      <c r="N17" s="385"/>
      <c r="O17" s="385"/>
      <c r="P17" s="385" t="s">
        <v>23</v>
      </c>
      <c r="Q17" s="385" t="s">
        <v>24</v>
      </c>
      <c r="R17" s="385" t="s">
        <v>25</v>
      </c>
      <c r="S17" s="385"/>
      <c r="T17" s="385" t="s">
        <v>26</v>
      </c>
    </row>
    <row r="18" spans="2:20" ht="27.6" x14ac:dyDescent="0.3">
      <c r="B18" s="385"/>
      <c r="C18" s="385"/>
      <c r="D18" s="18" t="s">
        <v>27</v>
      </c>
      <c r="E18" s="18" t="s">
        <v>28</v>
      </c>
      <c r="F18" s="18" t="s">
        <v>29</v>
      </c>
      <c r="G18" s="18" t="s">
        <v>30</v>
      </c>
      <c r="H18" s="18" t="s">
        <v>31</v>
      </c>
      <c r="I18" s="18" t="s">
        <v>32</v>
      </c>
      <c r="J18" s="18" t="s">
        <v>33</v>
      </c>
      <c r="K18" s="18" t="s">
        <v>34</v>
      </c>
      <c r="L18" s="18" t="s">
        <v>31</v>
      </c>
      <c r="M18" s="18" t="s">
        <v>32</v>
      </c>
      <c r="N18" s="18" t="s">
        <v>33</v>
      </c>
      <c r="O18" s="18" t="s">
        <v>35</v>
      </c>
      <c r="P18" s="385"/>
      <c r="Q18" s="385"/>
      <c r="R18" s="18" t="s">
        <v>36</v>
      </c>
      <c r="S18" s="18" t="s">
        <v>37</v>
      </c>
      <c r="T18" s="385"/>
    </row>
    <row r="19" spans="2:20" x14ac:dyDescent="0.3">
      <c r="B19" s="19">
        <v>21</v>
      </c>
      <c r="C19" s="19" t="s">
        <v>38</v>
      </c>
      <c r="D19" s="19">
        <v>1.5</v>
      </c>
      <c r="E19" s="19">
        <v>1.2</v>
      </c>
      <c r="F19" s="19">
        <v>1.2</v>
      </c>
      <c r="G19" s="19">
        <v>0.3</v>
      </c>
      <c r="H19" s="11">
        <v>16</v>
      </c>
      <c r="I19" s="19">
        <v>0</v>
      </c>
      <c r="J19" s="19">
        <v>6</v>
      </c>
      <c r="K19" s="20">
        <f>ROUNDUP((I19*B19/(ROUNDDOWN(($E$8/(E19-($E$7*2/1000))),0))+J19*B19/(ROUNDDOWN(($E$8/(E19-($E$7*2/1000))),0))),0)</f>
        <v>26</v>
      </c>
      <c r="L19" s="11">
        <v>16</v>
      </c>
      <c r="M19" s="19">
        <v>0</v>
      </c>
      <c r="N19" s="19">
        <v>6</v>
      </c>
      <c r="O19" s="20">
        <f>ROUNDUP((M19*B19/(ROUNDDOWN(($E$8/(F19-($E$7*2/1000))),0))+N19*B19/(ROUNDDOWN(($E$8/(F19-($E$7*2/1000))),0))),0)</f>
        <v>26</v>
      </c>
      <c r="P19" s="20">
        <f>(B19*I19*M19)+(B19*J19*N19)</f>
        <v>756</v>
      </c>
      <c r="Q19" s="20">
        <f>E19*F19*G19*B19</f>
        <v>9.0719999999999992</v>
      </c>
      <c r="R19" s="20">
        <f>2*E19+2*F19</f>
        <v>4.8</v>
      </c>
      <c r="S19" s="20">
        <f>R19*G19*B19</f>
        <v>30.24</v>
      </c>
      <c r="T19" s="21">
        <f>((PI()/4)*((H19/1000)^2)*$E$8*$E$6*K19)+((PI()/4)*((L19/1000)^2)*$E$8*$E$6*O19)</f>
        <v>492.44087853901573</v>
      </c>
    </row>
    <row r="20" spans="2:20" ht="14.4" thickBot="1" x14ac:dyDescent="0.35"/>
    <row r="21" spans="2:20" x14ac:dyDescent="0.3">
      <c r="B21" s="22"/>
      <c r="C21" s="23"/>
      <c r="D21" s="23"/>
      <c r="E21" s="23"/>
      <c r="F21" s="23"/>
      <c r="G21" s="23"/>
      <c r="H21" s="23"/>
      <c r="I21" s="23"/>
      <c r="J21" s="24"/>
    </row>
    <row r="22" spans="2:20" x14ac:dyDescent="0.3">
      <c r="B22" s="25"/>
      <c r="C22" s="12"/>
      <c r="D22" s="26" t="s">
        <v>39</v>
      </c>
      <c r="E22" s="26" t="s">
        <v>40</v>
      </c>
      <c r="F22" s="26" t="s">
        <v>41</v>
      </c>
      <c r="G22" s="12"/>
      <c r="H22" s="12"/>
      <c r="I22" s="12"/>
      <c r="J22" s="27"/>
    </row>
    <row r="23" spans="2:20" ht="41.4" x14ac:dyDescent="0.3">
      <c r="B23" s="25"/>
      <c r="C23" s="28" t="s">
        <v>42</v>
      </c>
      <c r="D23" s="73" t="str">
        <f>CONCATENATE(H19,"mm diameter bar"," ","added"," ",E13*100,"%","allowance")</f>
        <v>16mm diameter bar added 10%allowance</v>
      </c>
      <c r="E23" s="28">
        <f>ROUNDUP(SUM(K19:K19,O19:O19)*(1+$E$13),0)</f>
        <v>58</v>
      </c>
      <c r="F23" s="28" t="s">
        <v>43</v>
      </c>
      <c r="G23" s="12"/>
      <c r="H23" s="12"/>
      <c r="I23" s="12"/>
      <c r="J23" s="27"/>
    </row>
    <row r="24" spans="2:20" x14ac:dyDescent="0.3">
      <c r="B24" s="25"/>
      <c r="C24" s="12"/>
      <c r="D24" s="12"/>
      <c r="E24" s="12"/>
      <c r="F24" s="12"/>
      <c r="G24" s="12"/>
      <c r="H24" s="12"/>
      <c r="I24" s="12"/>
      <c r="J24" s="27"/>
    </row>
    <row r="25" spans="2:20" x14ac:dyDescent="0.3">
      <c r="B25" s="25"/>
      <c r="C25" s="12"/>
      <c r="D25" s="12"/>
      <c r="E25" s="12"/>
      <c r="F25" s="12"/>
      <c r="G25" s="12"/>
      <c r="H25" s="12"/>
      <c r="I25" s="12"/>
      <c r="J25" s="27"/>
    </row>
    <row r="26" spans="2:20" x14ac:dyDescent="0.3">
      <c r="B26" s="25"/>
      <c r="C26" s="380" t="s">
        <v>44</v>
      </c>
      <c r="D26" s="73" t="s">
        <v>45</v>
      </c>
      <c r="E26" s="29">
        <f>E23*E8*E6*(PI()/4)*(H19/1000)^2</f>
        <v>549.26097990890219</v>
      </c>
      <c r="F26" s="12"/>
      <c r="G26" s="12"/>
      <c r="H26" s="12"/>
      <c r="I26" s="12"/>
      <c r="J26" s="27"/>
    </row>
    <row r="27" spans="2:20" ht="27.6" x14ac:dyDescent="0.3">
      <c r="B27" s="25"/>
      <c r="C27" s="381"/>
      <c r="D27" s="73" t="str">
        <f>CONCATENATE(Q17, " Added ",E14*100, "%")</f>
        <v>Volume (m3) Added 30%</v>
      </c>
      <c r="E27" s="29">
        <f>SUM(Q19:Q19)*(1+$E$14)</f>
        <v>11.7936</v>
      </c>
      <c r="F27" s="12"/>
      <c r="G27" s="12"/>
      <c r="H27" s="12"/>
      <c r="I27" s="12"/>
      <c r="J27" s="27"/>
    </row>
    <row r="28" spans="2:20" ht="45.6" customHeight="1" x14ac:dyDescent="0.3">
      <c r="B28" s="25"/>
      <c r="C28" s="381"/>
      <c r="D28" s="73" t="s">
        <v>46</v>
      </c>
      <c r="E28" s="29">
        <f>SUM(S19:S19)</f>
        <v>30.24</v>
      </c>
      <c r="F28" s="12"/>
      <c r="G28" s="12"/>
      <c r="H28" s="12"/>
      <c r="I28" s="12"/>
      <c r="J28" s="27"/>
    </row>
    <row r="29" spans="2:20" ht="29.4" x14ac:dyDescent="0.3">
      <c r="B29" s="25"/>
      <c r="C29" s="381"/>
      <c r="D29" s="73" t="s">
        <v>353</v>
      </c>
      <c r="E29" s="29">
        <f>E19*F19*D19*B19</f>
        <v>45.36</v>
      </c>
      <c r="F29" s="12"/>
      <c r="G29" s="12"/>
      <c r="H29" s="12"/>
      <c r="I29" s="12"/>
      <c r="J29" s="27"/>
    </row>
    <row r="30" spans="2:20" ht="13.8" customHeight="1" x14ac:dyDescent="0.3">
      <c r="B30" s="25"/>
      <c r="C30" s="382"/>
      <c r="D30" s="73" t="s">
        <v>354</v>
      </c>
      <c r="E30" s="29">
        <f>E29-Q19-'Column | Pedestal'!R34-'Column | Pedestal'!R35</f>
        <v>32.728124999999999</v>
      </c>
      <c r="F30" s="12"/>
      <c r="G30" s="12"/>
      <c r="H30" s="12"/>
      <c r="I30" s="12"/>
      <c r="J30" s="27"/>
      <c r="L30" s="72"/>
    </row>
    <row r="31" spans="2:20" ht="35.4" customHeight="1" x14ac:dyDescent="0.3">
      <c r="B31" s="25"/>
      <c r="C31" s="12"/>
      <c r="D31" s="12"/>
      <c r="E31" s="12"/>
      <c r="F31" s="12"/>
      <c r="G31" s="12"/>
      <c r="H31" s="12"/>
      <c r="I31" s="12"/>
      <c r="J31" s="27"/>
    </row>
    <row r="32" spans="2:20" x14ac:dyDescent="0.3">
      <c r="B32" s="25"/>
      <c r="C32" s="71" t="s">
        <v>367</v>
      </c>
      <c r="D32" s="71" t="s">
        <v>368</v>
      </c>
      <c r="E32" s="71" t="s">
        <v>377</v>
      </c>
      <c r="F32" s="71" t="s">
        <v>376</v>
      </c>
      <c r="G32" s="71" t="s">
        <v>372</v>
      </c>
      <c r="H32" s="71" t="s">
        <v>373</v>
      </c>
      <c r="I32" s="71" t="s">
        <v>386</v>
      </c>
      <c r="J32" s="27"/>
    </row>
    <row r="33" spans="2:10" x14ac:dyDescent="0.3">
      <c r="B33" s="25"/>
      <c r="C33" s="11" t="s">
        <v>190</v>
      </c>
      <c r="D33" s="28" t="str">
        <f>VLOOKUP($C$33,'Concrete Proportion'!$C$9:$D$12,2,FALSE)</f>
        <v>1 ; 2 ; 4</v>
      </c>
      <c r="E33" s="11" t="s">
        <v>370</v>
      </c>
      <c r="F33" s="28">
        <f>ROUNDUP((VLOOKUP($C$33,'Concrete Proportion'!$C$8:$F$12,IF($E$33='Concrete Proportion'!$E$8,3,4),FALSE))*$E$27,0)</f>
        <v>107</v>
      </c>
      <c r="G33" s="29">
        <f>$E$27*0.5</f>
        <v>5.8967999999999998</v>
      </c>
      <c r="H33" s="29">
        <f>$E$27*1</f>
        <v>11.7936</v>
      </c>
      <c r="I33" s="29">
        <f>ROUNDUP(VLOOKUP($C$33,'Concrete Proportion'!$C$9:$I$12,7,FALSE)*$E$27,0)</f>
        <v>2123</v>
      </c>
      <c r="J33" s="27"/>
    </row>
    <row r="34" spans="2:10" ht="14.4" thickBot="1" x14ac:dyDescent="0.35">
      <c r="B34" s="30"/>
      <c r="C34" s="31"/>
      <c r="D34" s="31"/>
      <c r="E34" s="31"/>
      <c r="F34" s="31"/>
      <c r="G34" s="31"/>
      <c r="H34" s="31"/>
      <c r="I34" s="31"/>
      <c r="J34" s="32"/>
    </row>
    <row r="42" spans="2:10" ht="32.4" customHeight="1" x14ac:dyDescent="0.3"/>
  </sheetData>
  <mergeCells count="13">
    <mergeCell ref="B16:T16"/>
    <mergeCell ref="C26:C30"/>
    <mergeCell ref="C6:C11"/>
    <mergeCell ref="C13:C14"/>
    <mergeCell ref="B17:B18"/>
    <mergeCell ref="C17:C18"/>
    <mergeCell ref="R17:S17"/>
    <mergeCell ref="T17:T18"/>
    <mergeCell ref="D17:G17"/>
    <mergeCell ref="H17:K17"/>
    <mergeCell ref="L17:O17"/>
    <mergeCell ref="P17:P18"/>
    <mergeCell ref="Q17:Q18"/>
  </mergeCells>
  <dataValidations count="6">
    <dataValidation type="list" allowBlank="1" showInputMessage="1" showErrorMessage="1" sqref="E9">
      <formula1>"20,25,30,50"</formula1>
    </dataValidation>
    <dataValidation type="list" allowBlank="1" showInputMessage="1" showErrorMessage="1" sqref="L19 H19">
      <formula1>"10,12,16,20"</formula1>
    </dataValidation>
    <dataValidation type="list" allowBlank="1" showInputMessage="1" showErrorMessage="1" sqref="E8">
      <formula1>"6,12"</formula1>
    </dataValidation>
    <dataValidation type="list" allowBlank="1" showInputMessage="1" showErrorMessage="1" sqref="E7">
      <formula1>"20,40,60,75,100,150,200"</formula1>
    </dataValidation>
    <dataValidation type="list" allowBlank="1" showInputMessage="1" showErrorMessage="1" sqref="E33">
      <formula1>"40 kg/bag,50kg/bag"</formula1>
    </dataValidation>
    <dataValidation type="list" allowBlank="1" showInputMessage="1" showErrorMessage="1" sqref="C33">
      <formula1>"AA,A,B,C"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C6:I16"/>
  <sheetViews>
    <sheetView workbookViewId="0">
      <selection activeCell="M21" sqref="M21"/>
    </sheetView>
  </sheetViews>
  <sheetFormatPr defaultRowHeight="14.4" x14ac:dyDescent="0.3"/>
  <sheetData>
    <row r="6" spans="3:9" x14ac:dyDescent="0.3">
      <c r="C6" s="390" t="s">
        <v>366</v>
      </c>
      <c r="D6" s="390"/>
      <c r="E6" s="1"/>
      <c r="F6" s="1"/>
      <c r="G6" s="1"/>
      <c r="H6" s="1"/>
    </row>
    <row r="7" spans="3:9" x14ac:dyDescent="0.3">
      <c r="C7" s="389" t="s">
        <v>367</v>
      </c>
      <c r="D7" s="389" t="s">
        <v>368</v>
      </c>
      <c r="E7" s="389" t="s">
        <v>369</v>
      </c>
      <c r="F7" s="389"/>
      <c r="G7" s="389" t="s">
        <v>372</v>
      </c>
      <c r="H7" s="389" t="s">
        <v>373</v>
      </c>
      <c r="I7" s="389" t="s">
        <v>385</v>
      </c>
    </row>
    <row r="8" spans="3:9" ht="25.8" customHeight="1" x14ac:dyDescent="0.3">
      <c r="C8" s="389"/>
      <c r="D8" s="389"/>
      <c r="E8" s="20" t="s">
        <v>370</v>
      </c>
      <c r="F8" s="20" t="s">
        <v>371</v>
      </c>
      <c r="G8" s="389"/>
      <c r="H8" s="389"/>
      <c r="I8" s="389"/>
    </row>
    <row r="9" spans="3:9" x14ac:dyDescent="0.3">
      <c r="C9" s="20" t="s">
        <v>374</v>
      </c>
      <c r="D9" s="70" t="s">
        <v>387</v>
      </c>
      <c r="E9" s="20">
        <v>12</v>
      </c>
      <c r="F9" s="20">
        <v>9.5</v>
      </c>
      <c r="G9" s="20">
        <v>0.5</v>
      </c>
      <c r="H9" s="20">
        <v>1</v>
      </c>
      <c r="I9" s="74">
        <v>192</v>
      </c>
    </row>
    <row r="10" spans="3:9" x14ac:dyDescent="0.3">
      <c r="C10" s="20" t="s">
        <v>190</v>
      </c>
      <c r="D10" s="70" t="s">
        <v>375</v>
      </c>
      <c r="E10" s="20">
        <v>9</v>
      </c>
      <c r="F10" s="20">
        <v>7</v>
      </c>
      <c r="G10" s="20">
        <v>0.5</v>
      </c>
      <c r="H10" s="20">
        <v>1</v>
      </c>
      <c r="I10" s="74">
        <v>180</v>
      </c>
    </row>
    <row r="11" spans="3:9" x14ac:dyDescent="0.3">
      <c r="C11" s="20" t="s">
        <v>201</v>
      </c>
      <c r="D11" s="70" t="s">
        <v>388</v>
      </c>
      <c r="E11" s="20">
        <v>7.5</v>
      </c>
      <c r="F11" s="20">
        <v>6</v>
      </c>
      <c r="G11" s="20">
        <v>0.5</v>
      </c>
      <c r="H11" s="20">
        <v>1</v>
      </c>
      <c r="I11" s="74">
        <v>165</v>
      </c>
    </row>
    <row r="12" spans="3:9" x14ac:dyDescent="0.3">
      <c r="C12" s="20" t="s">
        <v>209</v>
      </c>
      <c r="D12" s="70" t="s">
        <v>389</v>
      </c>
      <c r="E12" s="20">
        <v>6</v>
      </c>
      <c r="F12" s="20">
        <v>5</v>
      </c>
      <c r="G12" s="20">
        <v>0.5</v>
      </c>
      <c r="H12" s="20">
        <v>1</v>
      </c>
      <c r="I12" s="74">
        <v>144</v>
      </c>
    </row>
    <row r="16" spans="3:9" x14ac:dyDescent="0.3">
      <c r="I16" s="78"/>
    </row>
  </sheetData>
  <mergeCells count="7">
    <mergeCell ref="I7:I8"/>
    <mergeCell ref="C6:D6"/>
    <mergeCell ref="E7:F7"/>
    <mergeCell ref="H7:H8"/>
    <mergeCell ref="G7:G8"/>
    <mergeCell ref="D7:D8"/>
    <mergeCell ref="C7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C000"/>
  </sheetPr>
  <dimension ref="A2:W80"/>
  <sheetViews>
    <sheetView topLeftCell="A7" zoomScale="70" zoomScaleNormal="70" workbookViewId="0">
      <selection activeCell="S20" sqref="S20"/>
    </sheetView>
  </sheetViews>
  <sheetFormatPr defaultRowHeight="13.8" x14ac:dyDescent="0.3"/>
  <cols>
    <col min="1" max="1" width="15.44140625" style="1" customWidth="1"/>
    <col min="2" max="2" width="16.33203125" style="1" customWidth="1"/>
    <col min="3" max="3" width="19" style="1" customWidth="1"/>
    <col min="4" max="4" width="21.77734375" style="1" customWidth="1"/>
    <col min="5" max="5" width="10.109375" style="1" customWidth="1"/>
    <col min="6" max="7" width="13.33203125" style="1" customWidth="1"/>
    <col min="8" max="8" width="21" style="1" customWidth="1"/>
    <col min="9" max="9" width="13" style="1" customWidth="1"/>
    <col min="10" max="10" width="12.88671875" style="1" customWidth="1"/>
    <col min="11" max="11" width="11" style="1" customWidth="1"/>
    <col min="12" max="12" width="10.5546875" style="1" customWidth="1"/>
    <col min="13" max="13" width="12.6640625" style="1" customWidth="1"/>
    <col min="14" max="14" width="14.88671875" style="1" customWidth="1"/>
    <col min="15" max="15" width="12.21875" style="1" customWidth="1"/>
    <col min="16" max="16" width="13.109375" style="1" customWidth="1"/>
    <col min="17" max="17" width="8.21875" style="1" customWidth="1"/>
    <col min="18" max="18" width="11.6640625" style="1" customWidth="1"/>
    <col min="19" max="19" width="10.77734375" style="1" customWidth="1"/>
    <col min="20" max="20" width="8.88671875" style="1"/>
    <col min="21" max="21" width="12.109375" style="1" customWidth="1"/>
    <col min="22" max="22" width="8.88671875" style="1"/>
    <col min="23" max="23" width="10.77734375" style="1" hidden="1" customWidth="1"/>
    <col min="24" max="16384" width="8.88671875" style="1"/>
  </cols>
  <sheetData>
    <row r="2" spans="2:13" x14ac:dyDescent="0.3">
      <c r="C2" s="2" t="s">
        <v>0</v>
      </c>
    </row>
    <row r="3" spans="2:13" x14ac:dyDescent="0.3">
      <c r="C3" s="3"/>
      <c r="D3" s="4" t="s">
        <v>47</v>
      </c>
    </row>
    <row r="4" spans="2:13" ht="27.6" x14ac:dyDescent="0.3">
      <c r="C4" s="5"/>
      <c r="D4" s="4" t="s">
        <v>2</v>
      </c>
    </row>
    <row r="6" spans="2:13" ht="15.6" x14ac:dyDescent="0.3">
      <c r="B6" s="383" t="s">
        <v>3</v>
      </c>
      <c r="C6" s="6" t="s">
        <v>4</v>
      </c>
      <c r="D6" s="19">
        <v>7850</v>
      </c>
      <c r="E6" s="6" t="s">
        <v>5</v>
      </c>
    </row>
    <row r="7" spans="2:13" x14ac:dyDescent="0.3">
      <c r="B7" s="383"/>
      <c r="C7" s="8" t="s">
        <v>6</v>
      </c>
      <c r="D7" s="9">
        <v>40</v>
      </c>
      <c r="E7" s="8" t="s">
        <v>7</v>
      </c>
      <c r="H7" s="2" t="s">
        <v>390</v>
      </c>
      <c r="M7" s="2" t="s">
        <v>391</v>
      </c>
    </row>
    <row r="8" spans="2:13" x14ac:dyDescent="0.3">
      <c r="B8" s="383"/>
      <c r="C8" s="10" t="s">
        <v>8</v>
      </c>
      <c r="D8" s="11">
        <v>6</v>
      </c>
      <c r="E8" s="10" t="s">
        <v>9</v>
      </c>
      <c r="F8" s="12"/>
    </row>
    <row r="9" spans="2:13" x14ac:dyDescent="0.3">
      <c r="B9" s="383"/>
      <c r="C9" s="10" t="s">
        <v>10</v>
      </c>
      <c r="D9" s="9">
        <v>25</v>
      </c>
      <c r="E9" s="10" t="s">
        <v>11</v>
      </c>
      <c r="F9" s="12"/>
    </row>
    <row r="10" spans="2:13" x14ac:dyDescent="0.3">
      <c r="B10" s="383"/>
      <c r="C10" s="10" t="s">
        <v>12</v>
      </c>
      <c r="D10" s="13">
        <f>IF(D9=25,1500,IF(D9=20,1060,IF(D9=30,1590,2650)))</f>
        <v>1500</v>
      </c>
      <c r="E10" s="10" t="s">
        <v>9</v>
      </c>
      <c r="F10" s="14"/>
    </row>
    <row r="11" spans="2:13" x14ac:dyDescent="0.3">
      <c r="B11" s="383"/>
      <c r="C11" s="10" t="s">
        <v>13</v>
      </c>
      <c r="D11" s="19">
        <v>0.25</v>
      </c>
      <c r="E11" s="10" t="s">
        <v>9</v>
      </c>
      <c r="F11" s="14"/>
    </row>
    <row r="12" spans="2:13" x14ac:dyDescent="0.3">
      <c r="B12" s="383"/>
      <c r="C12" s="10" t="s">
        <v>384</v>
      </c>
      <c r="D12" s="79">
        <v>12</v>
      </c>
      <c r="E12" s="10" t="s">
        <v>48</v>
      </c>
      <c r="F12" s="14"/>
    </row>
    <row r="13" spans="2:13" x14ac:dyDescent="0.3">
      <c r="B13" s="383"/>
      <c r="C13" s="10" t="s">
        <v>49</v>
      </c>
      <c r="D13" s="11">
        <v>40</v>
      </c>
      <c r="E13" s="10" t="s">
        <v>48</v>
      </c>
      <c r="F13" s="14"/>
    </row>
    <row r="14" spans="2:13" x14ac:dyDescent="0.3">
      <c r="B14" s="14"/>
      <c r="C14" s="15"/>
      <c r="D14" s="16"/>
      <c r="E14" s="15"/>
      <c r="F14" s="14"/>
    </row>
    <row r="15" spans="2:13" x14ac:dyDescent="0.3">
      <c r="B15" s="384" t="s">
        <v>14</v>
      </c>
      <c r="C15" s="10" t="s">
        <v>15</v>
      </c>
      <c r="D15" s="17">
        <v>0.1</v>
      </c>
      <c r="E15" s="15"/>
      <c r="F15" s="14"/>
    </row>
    <row r="16" spans="2:13" x14ac:dyDescent="0.3">
      <c r="B16" s="384"/>
      <c r="C16" s="10" t="s">
        <v>16</v>
      </c>
      <c r="D16" s="17">
        <v>0.3</v>
      </c>
      <c r="E16" s="15"/>
      <c r="F16" s="14"/>
    </row>
    <row r="17" spans="1:20" x14ac:dyDescent="0.3">
      <c r="A17" s="14"/>
      <c r="B17" s="15"/>
      <c r="C17" s="16"/>
      <c r="D17" s="15"/>
      <c r="F17" s="14"/>
    </row>
    <row r="18" spans="1:20" x14ac:dyDescent="0.3">
      <c r="B18" s="33" t="s">
        <v>50</v>
      </c>
      <c r="C18" s="34"/>
      <c r="D18" s="34"/>
    </row>
    <row r="19" spans="1:20" ht="55.8" customHeight="1" x14ac:dyDescent="0.3">
      <c r="B19" s="391" t="s">
        <v>3</v>
      </c>
      <c r="C19" s="35" t="s">
        <v>51</v>
      </c>
      <c r="D19" s="36">
        <v>1.5</v>
      </c>
      <c r="E19" s="37" t="s">
        <v>9</v>
      </c>
    </row>
    <row r="20" spans="1:20" ht="63" customHeight="1" x14ac:dyDescent="0.3">
      <c r="B20" s="391"/>
      <c r="C20" s="35" t="s">
        <v>52</v>
      </c>
      <c r="D20" s="36">
        <v>0.15</v>
      </c>
      <c r="E20" s="37" t="s">
        <v>9</v>
      </c>
    </row>
    <row r="21" spans="1:20" ht="35.4" customHeight="1" x14ac:dyDescent="0.3">
      <c r="B21" s="391"/>
      <c r="C21" s="10" t="s">
        <v>53</v>
      </c>
      <c r="D21" s="36">
        <v>0</v>
      </c>
      <c r="E21" s="37" t="s">
        <v>9</v>
      </c>
    </row>
    <row r="22" spans="1:20" ht="35.4" customHeight="1" x14ac:dyDescent="0.3"/>
    <row r="23" spans="1:20" ht="35.4" customHeight="1" x14ac:dyDescent="0.3">
      <c r="B23" s="2" t="s">
        <v>54</v>
      </c>
    </row>
    <row r="24" spans="1:20" x14ac:dyDescent="0.3">
      <c r="B24" s="28" t="s">
        <v>392</v>
      </c>
      <c r="C24" s="87">
        <v>1</v>
      </c>
    </row>
    <row r="25" spans="1:20" x14ac:dyDescent="0.3">
      <c r="B25" s="391" t="s">
        <v>3</v>
      </c>
      <c r="C25" s="10" t="s">
        <v>55</v>
      </c>
      <c r="D25" s="10" t="s">
        <v>56</v>
      </c>
    </row>
    <row r="26" spans="1:20" x14ac:dyDescent="0.3">
      <c r="B26" s="391"/>
      <c r="C26" s="19">
        <v>2</v>
      </c>
      <c r="D26" s="19">
        <v>0.05</v>
      </c>
    </row>
    <row r="27" spans="1:20" x14ac:dyDescent="0.3">
      <c r="B27" s="391"/>
      <c r="C27" s="19">
        <v>4</v>
      </c>
      <c r="D27" s="19">
        <v>7.4999999999999997E-2</v>
      </c>
    </row>
    <row r="28" spans="1:20" x14ac:dyDescent="0.3">
      <c r="B28" s="391"/>
      <c r="C28" s="19">
        <v>5</v>
      </c>
      <c r="D28" s="19">
        <v>0.1</v>
      </c>
    </row>
    <row r="29" spans="1:20" x14ac:dyDescent="0.3">
      <c r="B29" s="391"/>
      <c r="C29" s="10" t="s">
        <v>57</v>
      </c>
      <c r="D29" s="19">
        <v>0.15</v>
      </c>
    </row>
    <row r="31" spans="1:20" ht="18" customHeight="1" x14ac:dyDescent="0.3">
      <c r="B31" s="392" t="s">
        <v>58</v>
      </c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2"/>
      <c r="Q31" s="392"/>
      <c r="R31" s="392"/>
      <c r="S31" s="392"/>
      <c r="T31" s="392"/>
    </row>
    <row r="32" spans="1:20" x14ac:dyDescent="0.3">
      <c r="B32" s="385" t="s">
        <v>59</v>
      </c>
      <c r="C32" s="385" t="s">
        <v>60</v>
      </c>
      <c r="D32" s="385" t="s">
        <v>61</v>
      </c>
      <c r="E32" s="386" t="s">
        <v>20</v>
      </c>
      <c r="F32" s="388"/>
      <c r="G32" s="385" t="s">
        <v>62</v>
      </c>
      <c r="H32" s="385"/>
      <c r="I32" s="385"/>
      <c r="J32" s="385"/>
      <c r="K32" s="385"/>
      <c r="L32" s="385"/>
      <c r="M32" s="386" t="s">
        <v>63</v>
      </c>
      <c r="N32" s="387"/>
      <c r="O32" s="387"/>
      <c r="P32" s="387"/>
      <c r="Q32" s="385" t="s">
        <v>23</v>
      </c>
      <c r="R32" s="385" t="s">
        <v>24</v>
      </c>
      <c r="S32" s="385" t="s">
        <v>25</v>
      </c>
      <c r="T32" s="385"/>
    </row>
    <row r="33" spans="2:23" ht="27.6" x14ac:dyDescent="0.3">
      <c r="B33" s="385"/>
      <c r="C33" s="385"/>
      <c r="D33" s="385"/>
      <c r="E33" s="18" t="s">
        <v>64</v>
      </c>
      <c r="F33" s="18" t="s">
        <v>65</v>
      </c>
      <c r="G33" s="38" t="s">
        <v>31</v>
      </c>
      <c r="H33" s="38" t="str">
        <f>CONCATENATE("Column split at footing"," ", D12," db"," ",(C12))</f>
        <v>Column split at footing 12 db kicker | L Hook</v>
      </c>
      <c r="I33" s="38" t="str">
        <f>CONCATENATE("Splice"," ", D13,"db")</f>
        <v>Splice 40db</v>
      </c>
      <c r="J33" s="38" t="s">
        <v>66</v>
      </c>
      <c r="K33" s="38" t="s">
        <v>67</v>
      </c>
      <c r="L33" s="39" t="s">
        <v>26</v>
      </c>
      <c r="M33" s="18" t="s">
        <v>31</v>
      </c>
      <c r="N33" s="18" t="s">
        <v>68</v>
      </c>
      <c r="O33" s="18" t="s">
        <v>69</v>
      </c>
      <c r="P33" s="18" t="s">
        <v>26</v>
      </c>
      <c r="Q33" s="385"/>
      <c r="R33" s="385"/>
      <c r="S33" s="18" t="s">
        <v>36</v>
      </c>
      <c r="T33" s="18" t="s">
        <v>37</v>
      </c>
      <c r="W33" s="1" t="s">
        <v>70</v>
      </c>
    </row>
    <row r="34" spans="2:23" x14ac:dyDescent="0.3">
      <c r="B34" s="19" t="s">
        <v>71</v>
      </c>
      <c r="C34" s="19">
        <v>11</v>
      </c>
      <c r="D34" s="19">
        <v>0</v>
      </c>
      <c r="E34" s="19">
        <v>0.35</v>
      </c>
      <c r="F34" s="19">
        <v>0.35</v>
      </c>
      <c r="G34" s="11">
        <v>16</v>
      </c>
      <c r="H34" s="40">
        <f>($D$12/1000)*G34</f>
        <v>0.192</v>
      </c>
      <c r="I34" s="40">
        <v>0</v>
      </c>
      <c r="J34" s="19">
        <v>8</v>
      </c>
      <c r="K34" s="20">
        <f>ROUNDUP((J34*C34)/(ROUNDDOWN(($D$8/($D$19+$D$20+H34)),0)),)</f>
        <v>30</v>
      </c>
      <c r="L34" s="21">
        <f>IFERROR(((PI()/4)*((G34/1000)^2)*$D$8*$D$6*K34),"")</f>
        <v>284.10050684943212</v>
      </c>
      <c r="M34" s="11">
        <v>10</v>
      </c>
      <c r="N34" s="40">
        <f>IF(((F34-2*$D$7/1000)*2+2*(E34-2*$D$7/1000))&lt;0,"",((F34-2*$D$7/1000)*2+2*(E34-2*$D$7/1000))*$C$24)</f>
        <v>1.0799999999999998</v>
      </c>
      <c r="O34" s="20">
        <f>((($D$19+$D$20)-$C$26*$D$26-$C$27*$D$27-$C$28*$D$28)/$D$29+$C$26+$C$27+$C$28)*C34*2</f>
        <v>352</v>
      </c>
      <c r="P34" s="21">
        <f>IFERROR(((PI()/4)*((M34/1000)^2)*$D$8*$D$6*O34),"")</f>
        <v>1302.1273230598974</v>
      </c>
      <c r="Q34" s="20">
        <f>O34*J34</f>
        <v>2816</v>
      </c>
      <c r="R34" s="21">
        <f>IFERROR(E34*F34*($D$19+$D$20)*C34+D34*E34*F34*$D$21,"")</f>
        <v>2.2233749999999999</v>
      </c>
      <c r="S34" s="20">
        <f>IFERROR((2*E34+2*F34),"")</f>
        <v>1.4</v>
      </c>
      <c r="T34" s="20">
        <f>S34*(C34*($D$19+$D$20)+D34*$D$21)</f>
        <v>25.409999999999997</v>
      </c>
      <c r="W34" s="1">
        <f>ROUNDUP(N34*O34/$D$8,0)</f>
        <v>64</v>
      </c>
    </row>
    <row r="35" spans="2:23" x14ac:dyDescent="0.3">
      <c r="B35" s="19" t="s">
        <v>80</v>
      </c>
      <c r="C35" s="19">
        <v>9</v>
      </c>
      <c r="D35" s="19">
        <v>0</v>
      </c>
      <c r="E35" s="19">
        <v>0.3</v>
      </c>
      <c r="F35" s="19">
        <v>0.3</v>
      </c>
      <c r="G35" s="11">
        <v>16</v>
      </c>
      <c r="H35" s="40">
        <f>($D$12/1000)*G35</f>
        <v>0.192</v>
      </c>
      <c r="I35" s="40">
        <v>0</v>
      </c>
      <c r="J35" s="19">
        <v>8</v>
      </c>
      <c r="K35" s="20">
        <f>ROUNDUP((J35*C35)/(ROUNDDOWN(($D$8/($D$19+$D$20+H35)),0)),)</f>
        <v>24</v>
      </c>
      <c r="L35" s="21">
        <f>IFERROR(((PI()/4)*((G35/1000)^2)*$D$8*$D$6*K35),"")</f>
        <v>227.28040547954572</v>
      </c>
      <c r="M35" s="11">
        <v>10</v>
      </c>
      <c r="N35" s="40">
        <f>IF(((F35-2*$D$7/1000)*2+2*(E35-2*$D$7/1000))&lt;0,"",((F35-2*$D$7/1000)*2+2*(E35-2*$D$7/1000))*$C$24)</f>
        <v>0.87999999999999989</v>
      </c>
      <c r="O35" s="20">
        <f>((($D$19+$D$20)-$C$26*$D$26-$C$27*$D$27-$C$28*$D$28)/$D$29+$C$26+$C$27+$C$28)*C35*2</f>
        <v>288</v>
      </c>
      <c r="P35" s="21">
        <f>IFERROR(((PI()/4)*((M35/1000)^2)*$D$8*$D$6*O35),"")</f>
        <v>1065.3769006853706</v>
      </c>
      <c r="Q35" s="20">
        <f>O35*J35</f>
        <v>2304</v>
      </c>
      <c r="R35" s="21">
        <f>IFERROR(E35*F35*($D$19+$D$20)*C35+D35*E35*F35*$D$21,"")</f>
        <v>1.3365</v>
      </c>
      <c r="S35" s="20">
        <f>IFERROR((2*E35+2*F35),"")</f>
        <v>1.2</v>
      </c>
      <c r="T35" s="20">
        <f>S35*(C35*($D$19+$D$20)+D35*$D$21)</f>
        <v>17.82</v>
      </c>
      <c r="W35" s="1">
        <f>ROUNDUP(N35*O35/$D$8,0)</f>
        <v>43</v>
      </c>
    </row>
    <row r="37" spans="2:23" ht="14.4" thickBot="1" x14ac:dyDescent="0.35">
      <c r="P37" s="41"/>
    </row>
    <row r="38" spans="2:23" x14ac:dyDescent="0.3">
      <c r="B38" s="22"/>
      <c r="C38" s="23"/>
      <c r="D38" s="23"/>
      <c r="E38" s="23"/>
      <c r="F38" s="23"/>
      <c r="G38" s="23"/>
      <c r="H38" s="23"/>
      <c r="I38" s="23"/>
      <c r="J38" s="24"/>
    </row>
    <row r="39" spans="2:23" x14ac:dyDescent="0.3">
      <c r="B39" s="25"/>
      <c r="C39" s="12"/>
      <c r="D39" s="26" t="s">
        <v>39</v>
      </c>
      <c r="E39" s="26" t="s">
        <v>40</v>
      </c>
      <c r="F39" s="26" t="s">
        <v>41</v>
      </c>
      <c r="G39" s="12"/>
      <c r="H39" s="12"/>
      <c r="I39" s="12"/>
      <c r="J39" s="27"/>
    </row>
    <row r="40" spans="2:23" x14ac:dyDescent="0.3">
      <c r="B40" s="25"/>
      <c r="C40" s="28" t="s">
        <v>72</v>
      </c>
      <c r="D40" s="73" t="str">
        <f>CONCATENATE(G34,"mm diameter bar")</f>
        <v>16mm diameter bar</v>
      </c>
      <c r="E40" s="28">
        <f>ROUNDUP(SUM(K34:K35)*(1+$D$15),0)</f>
        <v>60</v>
      </c>
      <c r="F40" s="28" t="s">
        <v>43</v>
      </c>
      <c r="G40" s="12"/>
      <c r="H40" s="12"/>
      <c r="I40" s="12"/>
      <c r="J40" s="27"/>
    </row>
    <row r="41" spans="2:23" x14ac:dyDescent="0.3">
      <c r="B41" s="25"/>
      <c r="C41" s="28" t="s">
        <v>63</v>
      </c>
      <c r="D41" s="73" t="str">
        <f>CONCATENATE(M34,"mm diameter bar")</f>
        <v>10mm diameter bar</v>
      </c>
      <c r="E41" s="28">
        <f>ROUNDUP((SUM(W34:W35)*(1+$D$15)),0)</f>
        <v>118</v>
      </c>
      <c r="F41" s="28" t="s">
        <v>43</v>
      </c>
      <c r="G41" s="12"/>
      <c r="H41" s="12"/>
      <c r="I41" s="12"/>
      <c r="J41" s="77"/>
    </row>
    <row r="42" spans="2:23" x14ac:dyDescent="0.3">
      <c r="B42" s="25"/>
      <c r="C42" s="12"/>
      <c r="D42" s="12"/>
      <c r="E42" s="12"/>
      <c r="F42" s="12"/>
      <c r="G42" s="12"/>
      <c r="H42" s="12"/>
      <c r="I42" s="12"/>
      <c r="J42" s="77"/>
    </row>
    <row r="43" spans="2:23" x14ac:dyDescent="0.3">
      <c r="B43" s="25"/>
      <c r="C43" s="380" t="s">
        <v>73</v>
      </c>
      <c r="D43" s="385" t="s">
        <v>45</v>
      </c>
      <c r="E43" s="42" t="s">
        <v>74</v>
      </c>
      <c r="F43" s="29">
        <f>E40*((PI()/4)*((G34/1000)^2)*$D$8*$D$6)</f>
        <v>568.20101369886424</v>
      </c>
      <c r="G43" s="12"/>
      <c r="H43" s="12"/>
      <c r="I43" s="12"/>
      <c r="J43" s="27"/>
    </row>
    <row r="44" spans="2:23" x14ac:dyDescent="0.3">
      <c r="B44" s="25"/>
      <c r="C44" s="381"/>
      <c r="D44" s="385"/>
      <c r="E44" s="42" t="s">
        <v>54</v>
      </c>
      <c r="F44" s="29">
        <f>$E$41*((PI()/4)*((M34/1000)^2)*$D$8*$D$6)</f>
        <v>436.50859125303379</v>
      </c>
      <c r="G44" s="12"/>
      <c r="H44" s="12"/>
      <c r="I44" s="12"/>
      <c r="J44" s="27"/>
    </row>
    <row r="45" spans="2:23" x14ac:dyDescent="0.3">
      <c r="B45" s="25"/>
      <c r="C45" s="381"/>
      <c r="D45" s="386" t="str">
        <f>CONCATENATE(R32, " Added ",D16*100, "%")</f>
        <v>Volume (m3) Added 30%</v>
      </c>
      <c r="E45" s="388"/>
      <c r="F45" s="43">
        <f>SUM(R34:R35)*(1+$D$16)</f>
        <v>4.6278375</v>
      </c>
      <c r="G45" s="12"/>
      <c r="H45" s="12"/>
      <c r="I45" s="12"/>
      <c r="J45" s="27"/>
    </row>
    <row r="46" spans="2:23" x14ac:dyDescent="0.3">
      <c r="B46" s="25"/>
      <c r="C46" s="382"/>
      <c r="D46" s="386" t="s">
        <v>75</v>
      </c>
      <c r="E46" s="388"/>
      <c r="F46" s="29">
        <f>SUM(T34:T35)</f>
        <v>43.23</v>
      </c>
      <c r="G46" s="12"/>
      <c r="H46" s="12"/>
      <c r="I46" s="12"/>
      <c r="J46" s="27"/>
    </row>
    <row r="47" spans="2:23" x14ac:dyDescent="0.3">
      <c r="B47" s="25"/>
      <c r="C47" s="12"/>
      <c r="D47" s="12"/>
      <c r="E47" s="12"/>
      <c r="F47" s="12"/>
      <c r="G47" s="12"/>
      <c r="H47" s="12"/>
      <c r="I47" s="12"/>
      <c r="J47" s="27"/>
    </row>
    <row r="48" spans="2:23" x14ac:dyDescent="0.3">
      <c r="B48" s="25"/>
      <c r="C48" s="12"/>
      <c r="D48" s="12"/>
      <c r="E48" s="12"/>
      <c r="F48" s="12"/>
      <c r="G48" s="12"/>
      <c r="H48" s="12"/>
      <c r="I48" s="12"/>
      <c r="J48" s="27"/>
    </row>
    <row r="49" spans="2:10" ht="30" customHeight="1" x14ac:dyDescent="0.3">
      <c r="B49" s="25"/>
      <c r="C49" s="71" t="s">
        <v>367</v>
      </c>
      <c r="D49" s="71" t="s">
        <v>368</v>
      </c>
      <c r="E49" s="71" t="s">
        <v>377</v>
      </c>
      <c r="F49" s="71" t="s">
        <v>376</v>
      </c>
      <c r="G49" s="71" t="s">
        <v>372</v>
      </c>
      <c r="H49" s="71" t="s">
        <v>373</v>
      </c>
      <c r="I49" s="71" t="s">
        <v>386</v>
      </c>
      <c r="J49" s="27"/>
    </row>
    <row r="50" spans="2:10" ht="28.8" customHeight="1" x14ac:dyDescent="0.3">
      <c r="B50" s="25"/>
      <c r="C50" s="11" t="s">
        <v>190</v>
      </c>
      <c r="D50" s="28" t="str">
        <f>VLOOKUP($C$50,'Concrete Proportion'!$C$9:$D$12,2,FALSE)</f>
        <v>1 ; 2 ; 4</v>
      </c>
      <c r="E50" s="11" t="s">
        <v>370</v>
      </c>
      <c r="F50" s="28">
        <f>ROUNDUP((VLOOKUP($C$50,'Concrete Proportion'!$C$8:$F$12,IF($E$50='Concrete Proportion'!$E$8,3,4),FALSE))*$F$45,0)</f>
        <v>42</v>
      </c>
      <c r="G50" s="29">
        <f>$F$45*0.5</f>
        <v>2.31391875</v>
      </c>
      <c r="H50" s="29">
        <f>$F$45*1</f>
        <v>4.6278375</v>
      </c>
      <c r="I50" s="29">
        <f>ROUNDUP(VLOOKUP($C$50,'Concrete Proportion'!$C$9:$I$12,7,FALSE)*$F$45,0)</f>
        <v>834</v>
      </c>
      <c r="J50" s="27"/>
    </row>
    <row r="51" spans="2:10" ht="14.4" thickBot="1" x14ac:dyDescent="0.35">
      <c r="B51" s="30"/>
      <c r="C51" s="31"/>
      <c r="D51" s="31"/>
      <c r="E51" s="31"/>
      <c r="F51" s="31"/>
      <c r="G51" s="31"/>
      <c r="H51" s="31"/>
      <c r="I51" s="31"/>
      <c r="J51" s="32"/>
    </row>
    <row r="79" spans="2:5" ht="27.6" x14ac:dyDescent="0.3">
      <c r="B79" s="1" t="s">
        <v>76</v>
      </c>
      <c r="C79" s="1" t="s">
        <v>77</v>
      </c>
      <c r="D79" s="1" t="s">
        <v>78</v>
      </c>
      <c r="E79" s="1" t="s">
        <v>79</v>
      </c>
    </row>
    <row r="80" spans="2:5" x14ac:dyDescent="0.3">
      <c r="B80" s="1">
        <f>IF(($D$20+$D$19+H34+$D$21/2)&gt;$D$8,(H34+$D$19+$D$20+$D$21)-($D$20+$D$19+H34+$D$21/2)+I34+(($D$20+$D$19+H34+$D$21/2)-$D$8),(H34+$D$19+$D$20+$D$21)-($D$20+$D$19+H34+$D$21/2))</f>
        <v>0</v>
      </c>
      <c r="C80" s="1" t="e">
        <f>ROUNDDOWN($D$8/B80,0)</f>
        <v>#DIV/0!</v>
      </c>
      <c r="D80" s="1">
        <f>$D$20+$D$19+H34+$D$21/2</f>
        <v>1.8419999999999999</v>
      </c>
      <c r="E80" s="1">
        <f>H34+$D$19+$D$20+$D$21</f>
        <v>1.8419999999999999</v>
      </c>
    </row>
  </sheetData>
  <mergeCells count="18">
    <mergeCell ref="B32:B33"/>
    <mergeCell ref="C32:C33"/>
    <mergeCell ref="D32:D33"/>
    <mergeCell ref="E32:F32"/>
    <mergeCell ref="G32:L32"/>
    <mergeCell ref="B6:B13"/>
    <mergeCell ref="B15:B16"/>
    <mergeCell ref="B19:B21"/>
    <mergeCell ref="B25:B29"/>
    <mergeCell ref="B31:T31"/>
    <mergeCell ref="M32:P32"/>
    <mergeCell ref="Q32:Q33"/>
    <mergeCell ref="R32:R33"/>
    <mergeCell ref="S32:T32"/>
    <mergeCell ref="C43:C46"/>
    <mergeCell ref="D43:D44"/>
    <mergeCell ref="D45:E45"/>
    <mergeCell ref="D46:E46"/>
  </mergeCells>
  <dataValidations count="8">
    <dataValidation type="list" allowBlank="1" showInputMessage="1" showErrorMessage="1" sqref="D13">
      <formula1>"0,24,40,60"</formula1>
    </dataValidation>
    <dataValidation type="list" allowBlank="1" showInputMessage="1" showErrorMessage="1" sqref="D8">
      <formula1>"6,12"</formula1>
    </dataValidation>
    <dataValidation type="list" allowBlank="1" showInputMessage="1" showErrorMessage="1" sqref="D9">
      <formula1>"20,25,30,50"</formula1>
    </dataValidation>
    <dataValidation type="list" allowBlank="1" showInputMessage="1" showErrorMessage="1" sqref="G34:G35 M34:M35">
      <formula1>"0,10,12,16,20"</formula1>
    </dataValidation>
    <dataValidation type="list" allowBlank="1" showInputMessage="1" showErrorMessage="1" sqref="D7">
      <formula1>"20,40,60,75,100,150,200"</formula1>
    </dataValidation>
    <dataValidation type="list" allowBlank="1" showInputMessage="1" showErrorMessage="1" sqref="C50">
      <formula1>"AA,A,B,C"</formula1>
    </dataValidation>
    <dataValidation type="list" allowBlank="1" showInputMessage="1" showErrorMessage="1" sqref="E50">
      <formula1>"40 kg/bag,50kg/bag"</formula1>
    </dataValidation>
    <dataValidation type="list" allowBlank="1" showInputMessage="1" showErrorMessage="1" sqref="C24">
      <formula1>"1,2"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1" tint="0.34998626667073579"/>
  </sheetPr>
  <dimension ref="D2:V110"/>
  <sheetViews>
    <sheetView topLeftCell="C1" zoomScaleNormal="100" workbookViewId="0">
      <selection activeCell="P34" sqref="P34"/>
    </sheetView>
  </sheetViews>
  <sheetFormatPr defaultRowHeight="13.8" x14ac:dyDescent="0.3"/>
  <cols>
    <col min="1" max="5" width="8.88671875" style="44"/>
    <col min="6" max="6" width="10.109375" style="44" bestFit="1" customWidth="1"/>
    <col min="7" max="7" width="14.88671875" style="44" customWidth="1"/>
    <col min="8" max="8" width="12" style="44" customWidth="1"/>
    <col min="9" max="9" width="8.88671875" style="44"/>
    <col min="10" max="11" width="10.109375" style="44" bestFit="1" customWidth="1"/>
    <col min="12" max="13" width="10.33203125" style="44" customWidth="1"/>
    <col min="14" max="14" width="11.77734375" style="44" customWidth="1"/>
    <col min="15" max="15" width="11.5546875" style="44" customWidth="1"/>
    <col min="16" max="16" width="14.21875" style="44" customWidth="1"/>
    <col min="17" max="17" width="13.109375" style="44" customWidth="1"/>
    <col min="18" max="18" width="10.109375" style="44" customWidth="1"/>
    <col min="19" max="19" width="8.88671875" style="44"/>
    <col min="20" max="20" width="10.5546875" style="44" bestFit="1" customWidth="1"/>
    <col min="21" max="16384" width="8.88671875" style="44"/>
  </cols>
  <sheetData>
    <row r="2" spans="4:19" ht="86.4" customHeight="1" x14ac:dyDescent="0.3">
      <c r="F2" s="82" t="s">
        <v>101</v>
      </c>
      <c r="G2" s="82" t="s">
        <v>102</v>
      </c>
      <c r="H2" s="82" t="s">
        <v>100</v>
      </c>
      <c r="I2" s="82" t="s">
        <v>98</v>
      </c>
      <c r="J2" s="82" t="s">
        <v>97</v>
      </c>
      <c r="K2" s="82" t="s">
        <v>99</v>
      </c>
      <c r="L2" s="82" t="s">
        <v>343</v>
      </c>
      <c r="M2" s="82" t="s">
        <v>344</v>
      </c>
      <c r="N2" s="82" t="s">
        <v>124</v>
      </c>
      <c r="O2" s="80" t="str">
        <f>CONCATENATE("Tie Wire"," ","(",Footing!E9,"kg",")","/Box")</f>
        <v>Tie Wire (25kg)/Box</v>
      </c>
      <c r="P2" s="82" t="s">
        <v>125</v>
      </c>
      <c r="Q2" s="82" t="s">
        <v>129</v>
      </c>
      <c r="R2" s="82" t="s">
        <v>128</v>
      </c>
      <c r="S2" s="82" t="s">
        <v>138</v>
      </c>
    </row>
    <row r="3" spans="4:19" ht="42" customHeight="1" x14ac:dyDescent="0.3">
      <c r="D3" s="393" t="s">
        <v>81</v>
      </c>
      <c r="E3" s="393"/>
      <c r="F3" s="75">
        <f>21</f>
        <v>21</v>
      </c>
      <c r="G3" s="75">
        <f>F3*4</f>
        <v>84</v>
      </c>
      <c r="H3" s="75">
        <f>4*F3</f>
        <v>84</v>
      </c>
      <c r="I3" s="75">
        <v>12</v>
      </c>
      <c r="J3" s="75">
        <f>ROUNDUP((17*13.13/6)*(1+$F$27),0)</f>
        <v>41</v>
      </c>
      <c r="K3" s="75">
        <f>ROUNDUP((10.13*5/6)*(1+$F$27),0)</f>
        <v>10</v>
      </c>
      <c r="L3" s="75">
        <f>ROUNDUP(((H10+H9+H20+H21)/6)*(1+$F$27),0)</f>
        <v>56</v>
      </c>
      <c r="M3" s="75">
        <f>ROUNDUP(((H11+H22)/6)*(1+$F$27),0)</f>
        <v>29</v>
      </c>
      <c r="N3" s="75">
        <f>ROUNDUP((J38/25)*(1+$F$27),0)</f>
        <v>5</v>
      </c>
      <c r="O3" s="75">
        <f>ROUNDUP(((Footing!P19+'Column | Pedestal'!Q34+'Column | Pedestal'!Q35+SOG!O19)/Footing!E10)*(1+$F$27),0)</f>
        <v>5</v>
      </c>
      <c r="P3" s="75">
        <f>ROUNDUP(15*(1.125+9),0)</f>
        <v>152</v>
      </c>
      <c r="Q3" s="75">
        <f>ROUNDUP((11.31+16.8)*(1+$F$27),0)</f>
        <v>31</v>
      </c>
      <c r="R3" s="75">
        <v>3</v>
      </c>
      <c r="S3" s="75">
        <f>ROUNDUP(3.86*2*(1+$F$27),0)</f>
        <v>9</v>
      </c>
    </row>
    <row r="4" spans="4:19" ht="27" customHeight="1" x14ac:dyDescent="0.3">
      <c r="I4" s="51" t="s">
        <v>118</v>
      </c>
    </row>
    <row r="5" spans="4:19" hidden="1" x14ac:dyDescent="0.3">
      <c r="E5" s="50" t="s">
        <v>113</v>
      </c>
    </row>
    <row r="6" spans="4:19" hidden="1" x14ac:dyDescent="0.3">
      <c r="F6" s="45" t="s">
        <v>109</v>
      </c>
      <c r="G6" s="45">
        <v>7</v>
      </c>
    </row>
    <row r="7" spans="4:19" hidden="1" x14ac:dyDescent="0.3"/>
    <row r="8" spans="4:19" hidden="1" x14ac:dyDescent="0.3">
      <c r="H8" s="45" t="s">
        <v>110</v>
      </c>
    </row>
    <row r="9" spans="4:19" hidden="1" x14ac:dyDescent="0.3">
      <c r="F9" s="45" t="s">
        <v>103</v>
      </c>
      <c r="G9" s="45" t="s">
        <v>106</v>
      </c>
      <c r="H9" s="45">
        <v>84.04</v>
      </c>
    </row>
    <row r="10" spans="4:19" hidden="1" x14ac:dyDescent="0.3">
      <c r="F10" s="45" t="s">
        <v>104</v>
      </c>
      <c r="G10" s="45" t="s">
        <v>106</v>
      </c>
      <c r="H10" s="45">
        <v>84.04</v>
      </c>
    </row>
    <row r="11" spans="4:19" ht="27.6" hidden="1" x14ac:dyDescent="0.3">
      <c r="F11" s="45" t="s">
        <v>105</v>
      </c>
      <c r="G11" s="45" t="s">
        <v>117</v>
      </c>
      <c r="H11" s="45">
        <f>I14+I15+M14+M15</f>
        <v>40.699999999999996</v>
      </c>
    </row>
    <row r="12" spans="4:19" hidden="1" x14ac:dyDescent="0.3"/>
    <row r="13" spans="4:19" hidden="1" x14ac:dyDescent="0.3">
      <c r="G13" s="45" t="s">
        <v>111</v>
      </c>
      <c r="H13" s="45" t="s">
        <v>93</v>
      </c>
      <c r="I13" s="45" t="s">
        <v>112</v>
      </c>
      <c r="K13" s="45" t="s">
        <v>111</v>
      </c>
      <c r="L13" s="45" t="s">
        <v>93</v>
      </c>
      <c r="M13" s="45" t="s">
        <v>112</v>
      </c>
    </row>
    <row r="14" spans="4:19" hidden="1" x14ac:dyDescent="0.3">
      <c r="F14" s="45" t="s">
        <v>107</v>
      </c>
      <c r="G14" s="45">
        <v>26</v>
      </c>
      <c r="H14" s="45">
        <v>0.4</v>
      </c>
      <c r="I14" s="45">
        <f>G14*H14</f>
        <v>10.4</v>
      </c>
      <c r="K14" s="45">
        <v>33</v>
      </c>
      <c r="L14" s="45">
        <v>0.4</v>
      </c>
      <c r="M14" s="45">
        <f>K14*L14</f>
        <v>13.200000000000001</v>
      </c>
    </row>
    <row r="15" spans="4:19" hidden="1" x14ac:dyDescent="0.3">
      <c r="F15" s="45" t="s">
        <v>108</v>
      </c>
      <c r="G15" s="45">
        <v>13</v>
      </c>
      <c r="H15" s="45">
        <v>0.56999999999999995</v>
      </c>
      <c r="I15" s="45">
        <f>G15*H15</f>
        <v>7.4099999999999993</v>
      </c>
      <c r="K15" s="45">
        <f>ROUNDUP(K14/2,0)</f>
        <v>17</v>
      </c>
      <c r="L15" s="45">
        <v>0.56999999999999995</v>
      </c>
      <c r="M15" s="45">
        <f>K15*L15</f>
        <v>9.69</v>
      </c>
    </row>
    <row r="16" spans="4:19" hidden="1" x14ac:dyDescent="0.3"/>
    <row r="17" spans="4:9" hidden="1" x14ac:dyDescent="0.3">
      <c r="E17" s="50" t="s">
        <v>114</v>
      </c>
    </row>
    <row r="18" spans="4:9" hidden="1" x14ac:dyDescent="0.3"/>
    <row r="19" spans="4:9" hidden="1" x14ac:dyDescent="0.3">
      <c r="H19" s="45" t="s">
        <v>110</v>
      </c>
    </row>
    <row r="20" spans="4:9" hidden="1" x14ac:dyDescent="0.3">
      <c r="F20" s="45" t="s">
        <v>103</v>
      </c>
      <c r="G20" s="45" t="s">
        <v>115</v>
      </c>
      <c r="H20" s="45">
        <f>33.04*2</f>
        <v>66.08</v>
      </c>
    </row>
    <row r="21" spans="4:9" hidden="1" x14ac:dyDescent="0.3">
      <c r="F21" s="45" t="s">
        <v>104</v>
      </c>
      <c r="G21" s="45" t="s">
        <v>115</v>
      </c>
      <c r="H21" s="45">
        <f>33.04*2</f>
        <v>66.08</v>
      </c>
    </row>
    <row r="22" spans="4:9" ht="27.6" hidden="1" x14ac:dyDescent="0.3">
      <c r="F22" s="45" t="s">
        <v>105</v>
      </c>
      <c r="G22" s="45" t="s">
        <v>116</v>
      </c>
      <c r="H22" s="45">
        <f>(I25+I26)*2</f>
        <v>114.28</v>
      </c>
    </row>
    <row r="23" spans="4:9" hidden="1" x14ac:dyDescent="0.3"/>
    <row r="24" spans="4:9" hidden="1" x14ac:dyDescent="0.3">
      <c r="G24" s="45" t="s">
        <v>111</v>
      </c>
      <c r="H24" s="45" t="s">
        <v>93</v>
      </c>
      <c r="I24" s="45" t="s">
        <v>112</v>
      </c>
    </row>
    <row r="25" spans="4:9" hidden="1" x14ac:dyDescent="0.3">
      <c r="F25" s="45" t="s">
        <v>107</v>
      </c>
      <c r="G25" s="45">
        <v>83</v>
      </c>
      <c r="H25" s="45">
        <v>0.4</v>
      </c>
      <c r="I25" s="45">
        <f>G25*H25</f>
        <v>33.200000000000003</v>
      </c>
    </row>
    <row r="26" spans="4:9" hidden="1" x14ac:dyDescent="0.3">
      <c r="F26" s="85" t="s">
        <v>108</v>
      </c>
      <c r="G26" s="45">
        <f>ROUNDUP(G25/2,0)</f>
        <v>42</v>
      </c>
      <c r="H26" s="45">
        <v>0.56999999999999995</v>
      </c>
      <c r="I26" s="45">
        <f>G26*H26</f>
        <v>23.939999999999998</v>
      </c>
    </row>
    <row r="27" spans="4:9" ht="13.8" customHeight="1" x14ac:dyDescent="0.3">
      <c r="D27" s="394" t="s">
        <v>383</v>
      </c>
      <c r="E27" s="394"/>
      <c r="F27" s="86">
        <v>0.1</v>
      </c>
      <c r="G27" s="34"/>
      <c r="H27" s="34"/>
      <c r="I27" s="34"/>
    </row>
    <row r="28" spans="4:9" x14ac:dyDescent="0.3">
      <c r="F28" s="34"/>
      <c r="G28" s="34"/>
      <c r="H28" s="34"/>
      <c r="I28" s="34"/>
    </row>
    <row r="36" spans="9:19" ht="16.2" x14ac:dyDescent="0.3">
      <c r="I36" s="45" t="s">
        <v>16</v>
      </c>
      <c r="J36" s="45">
        <f>0.025*('Column | Pedestal'!E34*'Column | Pedestal'!F34*'Column | Pedestal'!C34+'Column | Pedestal'!E35*'Column | Pedestal'!F35*'Column | Pedestal'!C35)</f>
        <v>5.3937499999999999E-2</v>
      </c>
      <c r="K36" s="45" t="s">
        <v>122</v>
      </c>
    </row>
    <row r="37" spans="9:19" ht="32.4" customHeight="1" x14ac:dyDescent="0.3">
      <c r="I37" s="45" t="s">
        <v>120</v>
      </c>
      <c r="J37" s="45">
        <v>2000</v>
      </c>
      <c r="K37" s="45" t="s">
        <v>123</v>
      </c>
    </row>
    <row r="38" spans="9:19" ht="27.6" x14ac:dyDescent="0.3">
      <c r="I38" s="45" t="s">
        <v>121</v>
      </c>
      <c r="J38" s="45">
        <f>J37*J36</f>
        <v>107.875</v>
      </c>
      <c r="K38" s="45" t="s">
        <v>11</v>
      </c>
    </row>
    <row r="48" spans="9:19" x14ac:dyDescent="0.3">
      <c r="Q48" s="384" t="s">
        <v>14</v>
      </c>
      <c r="R48" s="10" t="s">
        <v>15</v>
      </c>
      <c r="S48" s="17">
        <v>0.1</v>
      </c>
    </row>
    <row r="49" spans="16:22" x14ac:dyDescent="0.3">
      <c r="Q49" s="384"/>
      <c r="R49" s="10" t="s">
        <v>16</v>
      </c>
      <c r="S49" s="17">
        <v>0.3</v>
      </c>
    </row>
    <row r="51" spans="16:22" x14ac:dyDescent="0.3">
      <c r="P51" s="50" t="s">
        <v>130</v>
      </c>
    </row>
    <row r="53" spans="16:22" ht="27.6" x14ac:dyDescent="0.3">
      <c r="P53" s="55" t="s">
        <v>135</v>
      </c>
      <c r="Q53" s="45" t="s">
        <v>30</v>
      </c>
      <c r="R53" s="56">
        <v>0.3</v>
      </c>
      <c r="T53" s="55" t="s">
        <v>136</v>
      </c>
      <c r="U53" s="45" t="s">
        <v>131</v>
      </c>
      <c r="V53" s="45">
        <f>(1/2)*3.39*R53</f>
        <v>0.50849999999999995</v>
      </c>
    </row>
    <row r="54" spans="16:22" x14ac:dyDescent="0.3">
      <c r="Q54" s="45" t="s">
        <v>28</v>
      </c>
      <c r="R54" s="56">
        <v>5.29</v>
      </c>
      <c r="U54" s="53" t="s">
        <v>16</v>
      </c>
      <c r="V54" s="48">
        <f>V53*R55*(1+$S$49)</f>
        <v>1.044459</v>
      </c>
    </row>
    <row r="55" spans="16:22" x14ac:dyDescent="0.3">
      <c r="Q55" s="45" t="s">
        <v>29</v>
      </c>
      <c r="R55" s="56">
        <v>1.58</v>
      </c>
    </row>
    <row r="56" spans="16:22" x14ac:dyDescent="0.3">
      <c r="Q56" s="53" t="s">
        <v>16</v>
      </c>
      <c r="R56" s="54">
        <f>R53*R54*R55*(1+$S$49)</f>
        <v>3.2596980000000002</v>
      </c>
    </row>
    <row r="58" spans="16:22" x14ac:dyDescent="0.3">
      <c r="Q58" s="50" t="s">
        <v>25</v>
      </c>
    </row>
    <row r="59" spans="16:22" x14ac:dyDescent="0.3">
      <c r="Q59" s="53" t="s">
        <v>131</v>
      </c>
      <c r="R59" s="48">
        <f>R54*2*R53+R55*2*R53+V53*2</f>
        <v>5.1389999999999993</v>
      </c>
    </row>
    <row r="61" spans="16:22" x14ac:dyDescent="0.3">
      <c r="Q61" s="50" t="s">
        <v>132</v>
      </c>
    </row>
    <row r="62" spans="16:22" x14ac:dyDescent="0.3">
      <c r="Q62" s="45" t="s">
        <v>31</v>
      </c>
      <c r="R62" s="52">
        <v>10</v>
      </c>
    </row>
    <row r="63" spans="16:22" x14ac:dyDescent="0.3">
      <c r="Q63" s="45" t="s">
        <v>94</v>
      </c>
      <c r="R63" s="56">
        <v>0.3</v>
      </c>
    </row>
    <row r="64" spans="16:22" x14ac:dyDescent="0.3">
      <c r="Q64" s="45" t="s">
        <v>8</v>
      </c>
      <c r="R64" s="56">
        <v>6</v>
      </c>
    </row>
    <row r="66" spans="15:19" ht="40.200000000000003" customHeight="1" x14ac:dyDescent="0.3">
      <c r="Q66" s="45" t="str">
        <f>CONCATENATE("Number of Bars Spaced @",R63*1000,"mm")</f>
        <v>Number of Bars Spaced @300mm</v>
      </c>
      <c r="R66" s="45" t="s">
        <v>110</v>
      </c>
      <c r="S66" s="45" t="s">
        <v>133</v>
      </c>
    </row>
    <row r="67" spans="15:19" x14ac:dyDescent="0.3">
      <c r="P67" s="45" t="s">
        <v>134</v>
      </c>
      <c r="Q67" s="45">
        <f>ROUNDUP($R$55/$R$63,0)</f>
        <v>6</v>
      </c>
      <c r="R67" s="45">
        <f>Q67*R54</f>
        <v>31.740000000000002</v>
      </c>
      <c r="S67" s="45">
        <f>ROUNDUP((R67/$R$64)*(1+$S$48),0)</f>
        <v>6</v>
      </c>
    </row>
    <row r="68" spans="15:19" x14ac:dyDescent="0.3">
      <c r="P68" s="45" t="s">
        <v>21</v>
      </c>
      <c r="Q68" s="45">
        <f>ROUNDUP($R$54/$R$63,0)</f>
        <v>18</v>
      </c>
      <c r="R68" s="45">
        <f>Q68*R55</f>
        <v>28.44</v>
      </c>
      <c r="S68" s="45">
        <f>ROUNDUP((R68/$R$64)*(1+$S$48),0)</f>
        <v>6</v>
      </c>
    </row>
    <row r="69" spans="15:19" x14ac:dyDescent="0.3">
      <c r="S69" s="75">
        <f>SUM(S67:S68)</f>
        <v>12</v>
      </c>
    </row>
    <row r="71" spans="15:19" x14ac:dyDescent="0.3">
      <c r="R71" s="80" t="s">
        <v>26</v>
      </c>
      <c r="S71" s="81">
        <f>S69*$R$64*Footing!E6*(PI()/4)*($R$62/1000)^2</f>
        <v>44.390704195223783</v>
      </c>
    </row>
    <row r="80" spans="15:19" x14ac:dyDescent="0.3">
      <c r="O80" s="50" t="s">
        <v>347</v>
      </c>
    </row>
    <row r="82" spans="15:18" x14ac:dyDescent="0.3">
      <c r="O82" s="44" t="s">
        <v>132</v>
      </c>
    </row>
    <row r="83" spans="15:18" x14ac:dyDescent="0.3">
      <c r="O83" s="45" t="s">
        <v>351</v>
      </c>
      <c r="P83" s="45">
        <v>14.9</v>
      </c>
    </row>
    <row r="84" spans="15:18" x14ac:dyDescent="0.3">
      <c r="O84" s="45" t="s">
        <v>31</v>
      </c>
      <c r="P84" s="52">
        <v>10</v>
      </c>
    </row>
    <row r="85" spans="15:18" x14ac:dyDescent="0.3">
      <c r="O85" s="45" t="s">
        <v>8</v>
      </c>
      <c r="P85" s="56">
        <v>6</v>
      </c>
    </row>
    <row r="86" spans="15:18" ht="33" customHeight="1" x14ac:dyDescent="0.3"/>
    <row r="87" spans="15:18" ht="30" customHeight="1" x14ac:dyDescent="0.3">
      <c r="P87" s="45" t="s">
        <v>352</v>
      </c>
      <c r="Q87" s="45" t="s">
        <v>350</v>
      </c>
      <c r="R87" s="45" t="s">
        <v>26</v>
      </c>
    </row>
    <row r="88" spans="15:18" x14ac:dyDescent="0.3">
      <c r="O88" s="45" t="s">
        <v>348</v>
      </c>
      <c r="P88" s="45">
        <f>P83*2.13</f>
        <v>31.736999999999998</v>
      </c>
      <c r="Q88" s="75">
        <f>ROUNDUP((P88/$R$64)*(1+$S$48),0)</f>
        <v>6</v>
      </c>
      <c r="R88" s="57">
        <f>Q88*$P$85*Footing!E6*(PI()/4)*($P$84/1000)^2</f>
        <v>22.195352097611892</v>
      </c>
    </row>
    <row r="89" spans="15:18" x14ac:dyDescent="0.3">
      <c r="O89" s="45" t="s">
        <v>349</v>
      </c>
      <c r="P89" s="45">
        <f>P83*3.3</f>
        <v>49.17</v>
      </c>
      <c r="Q89" s="75">
        <f>ROUNDUP((P89/$R$64)*(1+$S$48),0)</f>
        <v>10</v>
      </c>
      <c r="R89" s="57">
        <f>Q89*$P$85*Footing!E6*(PI()/4)*($P$84/1000)^2</f>
        <v>36.992253496019821</v>
      </c>
    </row>
    <row r="104" spans="7:11" ht="25.8" customHeight="1" x14ac:dyDescent="0.3"/>
    <row r="110" spans="7:11" ht="69" customHeight="1" x14ac:dyDescent="0.3">
      <c r="G110" s="84"/>
      <c r="H110" s="83"/>
      <c r="I110" s="83"/>
      <c r="J110" s="83"/>
      <c r="K110" s="83"/>
    </row>
  </sheetData>
  <mergeCells count="3">
    <mergeCell ref="D3:E3"/>
    <mergeCell ref="D27:E27"/>
    <mergeCell ref="Q48:Q49"/>
  </mergeCells>
  <dataValidations count="1">
    <dataValidation type="list" allowBlank="1" showInputMessage="1" showErrorMessage="1" sqref="R62 P84">
      <formula1>"10,12,16,20"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K7:M15"/>
  <sheetViews>
    <sheetView zoomScaleNormal="100" workbookViewId="0">
      <selection activeCell="P14" sqref="P14"/>
    </sheetView>
  </sheetViews>
  <sheetFormatPr defaultRowHeight="14.4" x14ac:dyDescent="0.3"/>
  <sheetData>
    <row r="7" spans="11:13" x14ac:dyDescent="0.3">
      <c r="K7" s="44"/>
      <c r="L7" s="44"/>
      <c r="M7" s="44"/>
    </row>
    <row r="8" spans="11:13" x14ac:dyDescent="0.3">
      <c r="K8" s="45" t="s">
        <v>131</v>
      </c>
      <c r="L8" s="36">
        <v>19.2</v>
      </c>
      <c r="M8" s="44"/>
    </row>
    <row r="9" spans="11:13" x14ac:dyDescent="0.3">
      <c r="K9" s="45" t="s">
        <v>383</v>
      </c>
      <c r="L9" s="76">
        <v>0.1</v>
      </c>
      <c r="M9" s="44"/>
    </row>
    <row r="10" spans="11:13" x14ac:dyDescent="0.3">
      <c r="K10" s="44"/>
      <c r="L10" s="44"/>
      <c r="M10" s="44"/>
    </row>
    <row r="11" spans="11:13" ht="27.6" x14ac:dyDescent="0.3">
      <c r="K11" s="44"/>
      <c r="L11" s="45" t="s">
        <v>381</v>
      </c>
      <c r="M11" s="37" t="s">
        <v>382</v>
      </c>
    </row>
    <row r="12" spans="11:13" ht="27.6" x14ac:dyDescent="0.3">
      <c r="K12" s="45" t="s">
        <v>378</v>
      </c>
      <c r="L12" s="45">
        <v>0.86</v>
      </c>
      <c r="M12" s="75">
        <f>ROUNDUP(($L$8*(1+$L$9))*L12,0)</f>
        <v>19</v>
      </c>
    </row>
    <row r="13" spans="11:13" ht="41.4" x14ac:dyDescent="0.3">
      <c r="K13" s="45" t="s">
        <v>379</v>
      </c>
      <c r="L13" s="45">
        <v>0.5</v>
      </c>
      <c r="M13" s="75">
        <f>ROUNDUP(($L$8*(1+$L$9))*L13,0)</f>
        <v>11</v>
      </c>
    </row>
    <row r="14" spans="11:13" ht="27.6" x14ac:dyDescent="0.3">
      <c r="K14" s="45" t="s">
        <v>380</v>
      </c>
      <c r="L14" s="45">
        <v>0.11</v>
      </c>
      <c r="M14" s="75">
        <f>ROUNDUP(($L$8*(1+$L$9))*L14,0)</f>
        <v>3</v>
      </c>
    </row>
    <row r="15" spans="11:13" x14ac:dyDescent="0.3">
      <c r="K15" s="44"/>
      <c r="L15" s="44"/>
      <c r="M15" s="4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S34"/>
  <sheetViews>
    <sheetView zoomScale="70" zoomScaleNormal="70" workbookViewId="0">
      <selection activeCell="L25" sqref="L25"/>
    </sheetView>
  </sheetViews>
  <sheetFormatPr defaultRowHeight="13.8" x14ac:dyDescent="0.3"/>
  <cols>
    <col min="1" max="2" width="8.88671875" style="1"/>
    <col min="3" max="3" width="16.33203125" style="1" customWidth="1"/>
    <col min="4" max="4" width="15.33203125" style="1" customWidth="1"/>
    <col min="5" max="5" width="17.44140625" style="1" customWidth="1"/>
    <col min="6" max="6" width="13.33203125" style="1" customWidth="1"/>
    <col min="7" max="7" width="11.109375" style="1" customWidth="1"/>
    <col min="8" max="8" width="11.44140625" style="1" customWidth="1"/>
    <col min="9" max="9" width="13.109375" style="1" customWidth="1"/>
    <col min="10" max="10" width="15.44140625" style="1" customWidth="1"/>
    <col min="11" max="11" width="17.6640625" style="1" customWidth="1"/>
    <col min="12" max="12" width="14.109375" style="1" customWidth="1"/>
    <col min="13" max="13" width="10.5546875" style="1" customWidth="1"/>
    <col min="14" max="14" width="18.88671875" style="1" customWidth="1"/>
    <col min="15" max="15" width="14.88671875" style="1" customWidth="1"/>
    <col min="16" max="16" width="11.88671875" style="1" customWidth="1"/>
    <col min="17" max="17" width="10.5546875" style="1" customWidth="1"/>
    <col min="18" max="18" width="10.77734375" style="1" customWidth="1"/>
    <col min="19" max="19" width="12.77734375" style="1" customWidth="1"/>
    <col min="20" max="20" width="10.109375" style="1" customWidth="1"/>
    <col min="21" max="16384" width="8.88671875" style="1"/>
  </cols>
  <sheetData>
    <row r="2" spans="2:19" x14ac:dyDescent="0.3">
      <c r="D2" s="2" t="s">
        <v>0</v>
      </c>
    </row>
    <row r="3" spans="2:19" ht="27.6" x14ac:dyDescent="0.3">
      <c r="D3" s="3"/>
      <c r="E3" s="4" t="s">
        <v>1</v>
      </c>
      <c r="J3" s="49"/>
    </row>
    <row r="4" spans="2:19" ht="27.6" x14ac:dyDescent="0.3">
      <c r="D4" s="5"/>
      <c r="E4" s="4" t="s">
        <v>2</v>
      </c>
    </row>
    <row r="6" spans="2:19" ht="15.6" x14ac:dyDescent="0.3">
      <c r="C6" s="383" t="s">
        <v>3</v>
      </c>
      <c r="D6" s="6" t="s">
        <v>4</v>
      </c>
      <c r="E6" s="7">
        <v>7850</v>
      </c>
      <c r="F6" s="6" t="s">
        <v>5</v>
      </c>
    </row>
    <row r="7" spans="2:19" x14ac:dyDescent="0.3">
      <c r="C7" s="383"/>
      <c r="D7" s="8" t="s">
        <v>6</v>
      </c>
      <c r="E7" s="9">
        <v>75</v>
      </c>
      <c r="F7" s="8" t="s">
        <v>7</v>
      </c>
    </row>
    <row r="8" spans="2:19" x14ac:dyDescent="0.3">
      <c r="C8" s="383"/>
      <c r="D8" s="10" t="s">
        <v>8</v>
      </c>
      <c r="E8" s="11">
        <v>6</v>
      </c>
      <c r="F8" s="10" t="s">
        <v>9</v>
      </c>
      <c r="G8" s="12"/>
    </row>
    <row r="9" spans="2:19" ht="27.6" x14ac:dyDescent="0.3">
      <c r="C9" s="383"/>
      <c r="D9" s="10" t="s">
        <v>10</v>
      </c>
      <c r="E9" s="9">
        <v>25</v>
      </c>
      <c r="F9" s="10" t="s">
        <v>11</v>
      </c>
      <c r="G9" s="12"/>
    </row>
    <row r="10" spans="2:19" ht="27.6" x14ac:dyDescent="0.3">
      <c r="C10" s="383"/>
      <c r="D10" s="10" t="s">
        <v>12</v>
      </c>
      <c r="E10" s="13">
        <f>IF(E9=25,1500,IF(E9=20,1060,IF(E9=30,1590,2650)))</f>
        <v>1500</v>
      </c>
      <c r="F10" s="10" t="s">
        <v>9</v>
      </c>
      <c r="G10" s="14"/>
    </row>
    <row r="11" spans="2:19" ht="27.6" x14ac:dyDescent="0.3">
      <c r="C11" s="383"/>
      <c r="D11" s="10" t="s">
        <v>13</v>
      </c>
      <c r="E11" s="7">
        <v>0.25</v>
      </c>
      <c r="F11" s="10" t="s">
        <v>9</v>
      </c>
      <c r="G11" s="14"/>
    </row>
    <row r="12" spans="2:19" x14ac:dyDescent="0.3">
      <c r="C12" s="14"/>
      <c r="D12" s="15"/>
      <c r="E12" s="16"/>
      <c r="F12" s="15"/>
      <c r="G12" s="14"/>
    </row>
    <row r="13" spans="2:19" x14ac:dyDescent="0.3">
      <c r="C13" s="384" t="s">
        <v>14</v>
      </c>
      <c r="D13" s="10" t="s">
        <v>15</v>
      </c>
      <c r="E13" s="17">
        <v>0.1</v>
      </c>
      <c r="F13" s="15"/>
      <c r="G13" s="14"/>
    </row>
    <row r="14" spans="2:19" x14ac:dyDescent="0.3">
      <c r="C14" s="384"/>
      <c r="D14" s="10" t="s">
        <v>16</v>
      </c>
      <c r="E14" s="17">
        <v>0.3</v>
      </c>
      <c r="F14" s="15"/>
      <c r="G14" s="14"/>
    </row>
    <row r="15" spans="2:19" x14ac:dyDescent="0.3">
      <c r="B15" s="14"/>
      <c r="C15" s="15"/>
      <c r="D15" s="16"/>
      <c r="E15" s="15"/>
      <c r="G15" s="14"/>
    </row>
    <row r="16" spans="2:19" ht="18" customHeight="1" x14ac:dyDescent="0.3">
      <c r="B16" s="377" t="s">
        <v>17</v>
      </c>
      <c r="C16" s="378"/>
      <c r="D16" s="378"/>
      <c r="E16" s="378"/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9"/>
    </row>
    <row r="17" spans="2:19" x14ac:dyDescent="0.3">
      <c r="B17" s="385" t="s">
        <v>18</v>
      </c>
      <c r="C17" s="385" t="s">
        <v>19</v>
      </c>
      <c r="D17" s="386" t="s">
        <v>20</v>
      </c>
      <c r="E17" s="387"/>
      <c r="F17" s="387"/>
      <c r="G17" s="385" t="s">
        <v>21</v>
      </c>
      <c r="H17" s="385"/>
      <c r="I17" s="385"/>
      <c r="J17" s="385"/>
      <c r="K17" s="385" t="s">
        <v>22</v>
      </c>
      <c r="L17" s="385"/>
      <c r="M17" s="385"/>
      <c r="N17" s="385"/>
      <c r="O17" s="385" t="s">
        <v>23</v>
      </c>
      <c r="P17" s="385" t="s">
        <v>24</v>
      </c>
      <c r="Q17" s="385" t="s">
        <v>25</v>
      </c>
      <c r="R17" s="385"/>
      <c r="S17" s="385" t="s">
        <v>26</v>
      </c>
    </row>
    <row r="18" spans="2:19" ht="27.6" x14ac:dyDescent="0.3">
      <c r="B18" s="385"/>
      <c r="C18" s="385"/>
      <c r="D18" s="18" t="s">
        <v>28</v>
      </c>
      <c r="E18" s="18" t="s">
        <v>29</v>
      </c>
      <c r="F18" s="18" t="s">
        <v>30</v>
      </c>
      <c r="G18" s="18" t="s">
        <v>31</v>
      </c>
      <c r="H18" s="18" t="s">
        <v>94</v>
      </c>
      <c r="I18" s="18" t="s">
        <v>96</v>
      </c>
      <c r="J18" s="18" t="s">
        <v>34</v>
      </c>
      <c r="K18" s="18" t="s">
        <v>31</v>
      </c>
      <c r="L18" s="18" t="s">
        <v>94</v>
      </c>
      <c r="M18" s="18" t="s">
        <v>96</v>
      </c>
      <c r="N18" s="18" t="s">
        <v>35</v>
      </c>
      <c r="O18" s="385"/>
      <c r="P18" s="385"/>
      <c r="Q18" s="18" t="s">
        <v>36</v>
      </c>
      <c r="R18" s="18" t="s">
        <v>37</v>
      </c>
      <c r="S18" s="385"/>
    </row>
    <row r="19" spans="2:19" x14ac:dyDescent="0.3">
      <c r="B19" s="19">
        <v>1</v>
      </c>
      <c r="C19" s="19" t="s">
        <v>95</v>
      </c>
      <c r="D19" s="19">
        <v>9.2799999999999994</v>
      </c>
      <c r="E19" s="19">
        <v>11.95</v>
      </c>
      <c r="F19" s="19">
        <v>0.1</v>
      </c>
      <c r="G19" s="11">
        <v>16</v>
      </c>
      <c r="H19" s="19">
        <v>0.4</v>
      </c>
      <c r="I19" s="19">
        <f>ROUNDUP(D19/H19,0)*E19</f>
        <v>286.79999999999995</v>
      </c>
      <c r="J19" s="20">
        <f>ROUNDUP(I19/$E$8,0)</f>
        <v>48</v>
      </c>
      <c r="K19" s="11">
        <v>10</v>
      </c>
      <c r="L19" s="19">
        <v>0.4</v>
      </c>
      <c r="M19" s="19">
        <f>ROUNDUP(E19/L19,0)*D19</f>
        <v>278.39999999999998</v>
      </c>
      <c r="N19" s="20">
        <f>ROUNDUP(M19/$E$8,0)</f>
        <v>47</v>
      </c>
      <c r="O19" s="20">
        <f>ROUNDUP(E19/H19,0)*ROUNDUP(D19/H19,0)</f>
        <v>720</v>
      </c>
      <c r="P19" s="20">
        <f>D19*E19*F19*B19</f>
        <v>11.089599999999999</v>
      </c>
      <c r="Q19" s="20">
        <f>2*D19+2*E19</f>
        <v>42.459999999999994</v>
      </c>
      <c r="R19" s="20">
        <f>Q19*F19*B19</f>
        <v>4.2459999999999996</v>
      </c>
      <c r="S19" s="21">
        <f>((PI()/4)*((G19/1000)^2)*$E$8*$E$6*J19)+((PI()/4)*((K19/1000)^2)*$E$8*$E$6*N19)</f>
        <v>628.42440239038456</v>
      </c>
    </row>
    <row r="20" spans="2:19" ht="14.4" thickBot="1" x14ac:dyDescent="0.35"/>
    <row r="21" spans="2:19" x14ac:dyDescent="0.3">
      <c r="B21" s="22"/>
      <c r="C21" s="23"/>
      <c r="D21" s="23"/>
      <c r="E21" s="23"/>
      <c r="F21" s="23"/>
      <c r="G21" s="23"/>
      <c r="H21" s="23"/>
      <c r="I21" s="23"/>
      <c r="J21" s="24"/>
    </row>
    <row r="22" spans="2:19" x14ac:dyDescent="0.3">
      <c r="B22" s="25"/>
      <c r="C22" s="12"/>
      <c r="D22" s="26" t="s">
        <v>39</v>
      </c>
      <c r="E22" s="26" t="s">
        <v>40</v>
      </c>
      <c r="F22" s="26" t="s">
        <v>41</v>
      </c>
      <c r="G22" s="12"/>
      <c r="H22" s="12"/>
      <c r="I22" s="12"/>
      <c r="J22" s="27"/>
    </row>
    <row r="23" spans="2:19" ht="41.4" x14ac:dyDescent="0.3">
      <c r="B23" s="25"/>
      <c r="C23" s="28" t="s">
        <v>42</v>
      </c>
      <c r="D23" s="73" t="str">
        <f>CONCATENATE(G19,"mm diameter bar"," ","added 10% allowance")</f>
        <v>16mm diameter bar added 10% allowance</v>
      </c>
      <c r="E23" s="28">
        <f>ROUNDUP(SUM(J19:J19,N19:N19)*(1+$E$13),0)</f>
        <v>105</v>
      </c>
      <c r="F23" s="28" t="s">
        <v>43</v>
      </c>
      <c r="G23" s="12"/>
      <c r="H23" s="12"/>
      <c r="I23" s="12"/>
      <c r="J23" s="27"/>
    </row>
    <row r="24" spans="2:19" x14ac:dyDescent="0.3">
      <c r="B24" s="25"/>
      <c r="C24" s="12"/>
      <c r="D24" s="12"/>
      <c r="E24" s="12"/>
      <c r="F24" s="12"/>
      <c r="G24" s="12"/>
      <c r="H24" s="12"/>
      <c r="I24" s="12"/>
      <c r="J24" s="27"/>
    </row>
    <row r="25" spans="2:19" x14ac:dyDescent="0.3">
      <c r="B25" s="25"/>
      <c r="C25" s="12"/>
      <c r="D25" s="12"/>
      <c r="E25" s="12"/>
      <c r="F25" s="12"/>
      <c r="G25" s="12"/>
      <c r="H25" s="12"/>
      <c r="I25" s="12"/>
      <c r="J25" s="27"/>
    </row>
    <row r="26" spans="2:19" x14ac:dyDescent="0.3">
      <c r="B26" s="25"/>
      <c r="C26" s="395" t="s">
        <v>44</v>
      </c>
      <c r="D26" s="73" t="s">
        <v>45</v>
      </c>
      <c r="E26" s="29">
        <f>E23*$E$6*$E$8*((PI()/4)*(G19/1000)^2)</f>
        <v>994.35177397301254</v>
      </c>
      <c r="F26" s="12"/>
      <c r="G26" s="12"/>
      <c r="H26" s="12"/>
      <c r="I26" s="12"/>
      <c r="J26" s="27"/>
    </row>
    <row r="27" spans="2:19" ht="27.6" x14ac:dyDescent="0.3">
      <c r="B27" s="25"/>
      <c r="C27" s="395"/>
      <c r="D27" s="73" t="str">
        <f>CONCATENATE(P17, " Added ",E14*100, "%")</f>
        <v>Volume (m3) Added 30%</v>
      </c>
      <c r="E27" s="29">
        <f>SUM(P19:P19)*(1+$E$14)</f>
        <v>14.41648</v>
      </c>
      <c r="F27" s="12"/>
      <c r="G27" s="12"/>
      <c r="H27" s="12"/>
      <c r="I27" s="12"/>
      <c r="J27" s="27"/>
    </row>
    <row r="28" spans="2:19" ht="51" customHeight="1" x14ac:dyDescent="0.3">
      <c r="B28" s="25"/>
      <c r="C28" s="395"/>
      <c r="D28" s="73" t="s">
        <v>46</v>
      </c>
      <c r="E28" s="29">
        <f>SUM(R19:R19)</f>
        <v>4.2459999999999996</v>
      </c>
      <c r="F28" s="12"/>
      <c r="G28" s="12"/>
      <c r="H28" s="12"/>
      <c r="I28" s="12"/>
      <c r="J28" s="27"/>
    </row>
    <row r="29" spans="2:19" x14ac:dyDescent="0.3">
      <c r="B29" s="25"/>
      <c r="C29" s="12"/>
      <c r="D29" s="12"/>
      <c r="E29" s="12"/>
      <c r="F29" s="12"/>
      <c r="G29" s="12"/>
      <c r="H29" s="12"/>
      <c r="I29" s="12"/>
      <c r="J29" s="27"/>
    </row>
    <row r="30" spans="2:19" x14ac:dyDescent="0.3">
      <c r="B30" s="25"/>
      <c r="C30" s="12"/>
      <c r="D30" s="12"/>
      <c r="E30" s="12"/>
      <c r="F30" s="12"/>
      <c r="G30" s="12"/>
      <c r="H30" s="12"/>
      <c r="I30" s="12"/>
      <c r="J30" s="27"/>
    </row>
    <row r="31" spans="2:19" x14ac:dyDescent="0.3">
      <c r="B31" s="25"/>
      <c r="C31" s="12"/>
      <c r="D31" s="12"/>
      <c r="E31" s="12"/>
      <c r="F31" s="12"/>
      <c r="G31" s="12"/>
      <c r="H31" s="12"/>
      <c r="I31" s="12"/>
      <c r="J31" s="27"/>
    </row>
    <row r="32" spans="2:19" ht="27" customHeight="1" x14ac:dyDescent="0.3">
      <c r="B32" s="25"/>
      <c r="C32" s="71" t="s">
        <v>367</v>
      </c>
      <c r="D32" s="71" t="s">
        <v>368</v>
      </c>
      <c r="E32" s="71" t="s">
        <v>377</v>
      </c>
      <c r="F32" s="71" t="s">
        <v>376</v>
      </c>
      <c r="G32" s="71" t="s">
        <v>372</v>
      </c>
      <c r="H32" s="71" t="s">
        <v>373</v>
      </c>
      <c r="I32" s="71" t="s">
        <v>386</v>
      </c>
      <c r="J32" s="27"/>
    </row>
    <row r="33" spans="2:10" x14ac:dyDescent="0.3">
      <c r="B33" s="25"/>
      <c r="C33" s="11" t="s">
        <v>190</v>
      </c>
      <c r="D33" s="28" t="str">
        <f>VLOOKUP($C$33,'Concrete Proportion'!$C$9:$D$12,2,FALSE)</f>
        <v>1 ; 2 ; 4</v>
      </c>
      <c r="E33" s="11" t="s">
        <v>370</v>
      </c>
      <c r="F33" s="28">
        <f>ROUNDUP((VLOOKUP($C$33,'Concrete Proportion'!$C$8:$F$12,IF($E$33='Concrete Proportion'!$E$8,3,4),FALSE))*$E$27,0)</f>
        <v>130</v>
      </c>
      <c r="G33" s="29">
        <f>$E$27*0.5</f>
        <v>7.20824</v>
      </c>
      <c r="H33" s="29">
        <f>$E$27*1</f>
        <v>14.41648</v>
      </c>
      <c r="I33" s="29">
        <f>ROUNDUP(VLOOKUP($C$33,'Concrete Proportion'!$C$9:$I$12,7,FALSE)*$E$27,0)</f>
        <v>2595</v>
      </c>
      <c r="J33" s="27"/>
    </row>
    <row r="34" spans="2:10" ht="14.4" thickBot="1" x14ac:dyDescent="0.35">
      <c r="B34" s="30"/>
      <c r="C34" s="31"/>
      <c r="D34" s="31"/>
      <c r="E34" s="31"/>
      <c r="F34" s="31"/>
      <c r="G34" s="31"/>
      <c r="H34" s="31"/>
      <c r="I34" s="31"/>
      <c r="J34" s="32"/>
    </row>
  </sheetData>
  <mergeCells count="13">
    <mergeCell ref="C6:C11"/>
    <mergeCell ref="C13:C14"/>
    <mergeCell ref="B17:B18"/>
    <mergeCell ref="C17:C18"/>
    <mergeCell ref="G17:J17"/>
    <mergeCell ref="Q17:R17"/>
    <mergeCell ref="S17:S18"/>
    <mergeCell ref="C26:C28"/>
    <mergeCell ref="D17:F17"/>
    <mergeCell ref="B16:S16"/>
    <mergeCell ref="K17:N17"/>
    <mergeCell ref="O17:O18"/>
    <mergeCell ref="P17:P18"/>
  </mergeCells>
  <dataValidations count="6">
    <dataValidation type="list" allowBlank="1" showInputMessage="1" showErrorMessage="1" sqref="E7">
      <formula1>"20,40,60,75,100,150,200"</formula1>
    </dataValidation>
    <dataValidation type="list" allowBlank="1" showInputMessage="1" showErrorMessage="1" sqref="E8">
      <formula1>"6,12"</formula1>
    </dataValidation>
    <dataValidation type="list" allowBlank="1" showInputMessage="1" showErrorMessage="1" sqref="K19 G19">
      <formula1>"10,12,16,20"</formula1>
    </dataValidation>
    <dataValidation type="list" allowBlank="1" showInputMessage="1" showErrorMessage="1" sqref="E9">
      <formula1>"20,25,30,50"</formula1>
    </dataValidation>
    <dataValidation type="list" allowBlank="1" showInputMessage="1" showErrorMessage="1" sqref="E33">
      <formula1>"40 kg/bag,50kg/bag"</formula1>
    </dataValidation>
    <dataValidation type="list" allowBlank="1" showInputMessage="1" showErrorMessage="1" sqref="C33">
      <formula1>"AA,A,B,C"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484"/>
  <sheetViews>
    <sheetView tabSelected="1" view="pageBreakPreview" zoomScale="70" zoomScaleNormal="70" zoomScaleSheetLayoutView="70" workbookViewId="0">
      <selection activeCell="AA5" sqref="AA5"/>
    </sheetView>
  </sheetViews>
  <sheetFormatPr defaultColWidth="9.109375" defaultRowHeight="13.8" x14ac:dyDescent="0.3"/>
  <cols>
    <col min="1" max="1" width="4.6640625" style="101" customWidth="1"/>
    <col min="2" max="2" width="3.5546875" style="102" customWidth="1"/>
    <col min="3" max="5" width="2.6640625" style="96" customWidth="1"/>
    <col min="6" max="6" width="2.33203125" style="96" customWidth="1"/>
    <col min="7" max="7" width="3.5546875" style="96" customWidth="1"/>
    <col min="8" max="8" width="2.6640625" style="96" customWidth="1"/>
    <col min="9" max="9" width="5.6640625" style="96" customWidth="1"/>
    <col min="10" max="18" width="2.6640625" style="96" customWidth="1"/>
    <col min="19" max="19" width="13.33203125" style="96" customWidth="1"/>
    <col min="20" max="20" width="10" style="103" customWidth="1"/>
    <col min="21" max="21" width="8.6640625" style="93" customWidth="1"/>
    <col min="22" max="22" width="12.5546875" style="94" customWidth="1"/>
    <col min="23" max="23" width="16.5546875" style="94" customWidth="1"/>
    <col min="24" max="24" width="18.33203125" style="94" customWidth="1"/>
    <col min="25" max="25" width="16.109375" style="95" customWidth="1"/>
    <col min="26" max="26" width="10.88671875" style="96" customWidth="1"/>
    <col min="27" max="28" width="9.109375" style="96"/>
    <col min="29" max="29" width="12.44140625" style="96" customWidth="1"/>
    <col min="30" max="30" width="9.109375" style="95"/>
    <col min="31" max="31" width="24.44140625" style="95" customWidth="1"/>
    <col min="32" max="32" width="22.109375" style="95" customWidth="1"/>
    <col min="33" max="33" width="19.6640625" style="95" customWidth="1"/>
    <col min="34" max="16384" width="9.109375" style="95"/>
  </cols>
  <sheetData>
    <row r="1" spans="1:33" ht="14.25" customHeight="1" x14ac:dyDescent="0.3">
      <c r="A1" s="502" t="s">
        <v>139</v>
      </c>
      <c r="B1" s="502"/>
      <c r="C1" s="502"/>
      <c r="D1" s="502"/>
      <c r="E1" s="502"/>
      <c r="F1" s="90" t="s">
        <v>140</v>
      </c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33" ht="14.25" customHeight="1" x14ac:dyDescent="0.3">
      <c r="A2" s="502" t="s">
        <v>141</v>
      </c>
      <c r="B2" s="502"/>
      <c r="C2" s="502"/>
      <c r="D2" s="502"/>
      <c r="E2" s="502"/>
      <c r="F2" s="90" t="s">
        <v>140</v>
      </c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</row>
    <row r="3" spans="1:33" ht="14.25" customHeight="1" x14ac:dyDescent="0.3">
      <c r="A3" s="502" t="s">
        <v>142</v>
      </c>
      <c r="B3" s="502"/>
      <c r="C3" s="502"/>
      <c r="D3" s="502"/>
      <c r="E3" s="502"/>
      <c r="F3" s="90" t="s">
        <v>140</v>
      </c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2"/>
    </row>
    <row r="4" spans="1:33" ht="14.25" customHeight="1" x14ac:dyDescent="0.3">
      <c r="A4" s="502" t="s">
        <v>143</v>
      </c>
      <c r="B4" s="502"/>
      <c r="C4" s="502"/>
      <c r="D4" s="502"/>
      <c r="E4" s="502"/>
      <c r="F4" s="90" t="s">
        <v>140</v>
      </c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503"/>
      <c r="S4" s="503"/>
      <c r="T4" s="98"/>
    </row>
    <row r="5" spans="1:33" ht="14.25" customHeight="1" x14ac:dyDescent="0.3">
      <c r="A5" s="502" t="s">
        <v>144</v>
      </c>
      <c r="B5" s="502"/>
      <c r="C5" s="502"/>
      <c r="D5" s="502"/>
      <c r="E5" s="502"/>
      <c r="F5" s="90" t="s">
        <v>140</v>
      </c>
      <c r="G5" s="97" t="s">
        <v>145</v>
      </c>
      <c r="H5" s="97"/>
      <c r="I5" s="97"/>
      <c r="J5" s="97"/>
      <c r="K5" s="97"/>
      <c r="L5" s="97"/>
      <c r="M5" s="97"/>
      <c r="N5" s="97"/>
      <c r="O5" s="97"/>
      <c r="P5" s="97"/>
      <c r="Q5" s="99" t="s">
        <v>399</v>
      </c>
      <c r="R5" s="99"/>
      <c r="S5" s="99"/>
      <c r="T5" s="100"/>
      <c r="U5" s="494" t="s">
        <v>146</v>
      </c>
      <c r="V5" s="494"/>
      <c r="W5" s="494"/>
      <c r="X5" s="494"/>
    </row>
    <row r="6" spans="1:33" ht="15.75" customHeight="1" x14ac:dyDescent="0.3"/>
    <row r="7" spans="1:33" ht="18" customHeight="1" x14ac:dyDescent="0.3">
      <c r="A7" s="495" t="s">
        <v>147</v>
      </c>
      <c r="B7" s="497" t="s">
        <v>148</v>
      </c>
      <c r="C7" s="495"/>
      <c r="D7" s="495"/>
      <c r="E7" s="495"/>
      <c r="F7" s="495"/>
      <c r="G7" s="495"/>
      <c r="H7" s="495"/>
      <c r="I7" s="495"/>
      <c r="J7" s="495"/>
      <c r="K7" s="495"/>
      <c r="L7" s="495"/>
      <c r="M7" s="495"/>
      <c r="N7" s="495"/>
      <c r="O7" s="495"/>
      <c r="P7" s="495"/>
      <c r="Q7" s="495"/>
      <c r="R7" s="495"/>
      <c r="S7" s="495"/>
      <c r="T7" s="495" t="s">
        <v>149</v>
      </c>
      <c r="U7" s="495"/>
      <c r="V7" s="495"/>
      <c r="W7" s="495"/>
      <c r="X7" s="104" t="s">
        <v>150</v>
      </c>
    </row>
    <row r="8" spans="1:33" ht="28.5" customHeight="1" thickBot="1" x14ac:dyDescent="0.35">
      <c r="A8" s="496"/>
      <c r="B8" s="498"/>
      <c r="C8" s="496"/>
      <c r="D8" s="496"/>
      <c r="E8" s="496"/>
      <c r="F8" s="496"/>
      <c r="G8" s="496"/>
      <c r="H8" s="496"/>
      <c r="I8" s="496"/>
      <c r="J8" s="496"/>
      <c r="K8" s="496"/>
      <c r="L8" s="496"/>
      <c r="M8" s="496"/>
      <c r="N8" s="496"/>
      <c r="O8" s="496"/>
      <c r="P8" s="496"/>
      <c r="Q8" s="496"/>
      <c r="R8" s="496"/>
      <c r="S8" s="496"/>
      <c r="T8" s="105" t="s">
        <v>151</v>
      </c>
      <c r="U8" s="106" t="s">
        <v>152</v>
      </c>
      <c r="V8" s="107" t="s">
        <v>153</v>
      </c>
      <c r="W8" s="107" t="s">
        <v>154</v>
      </c>
      <c r="X8" s="107" t="s">
        <v>155</v>
      </c>
    </row>
    <row r="9" spans="1:33" ht="14.25" customHeight="1" thickBot="1" x14ac:dyDescent="0.35">
      <c r="A9" s="108" t="s">
        <v>156</v>
      </c>
      <c r="B9" s="499" t="s">
        <v>157</v>
      </c>
      <c r="C9" s="500"/>
      <c r="D9" s="500"/>
      <c r="E9" s="500"/>
      <c r="F9" s="500"/>
      <c r="G9" s="500"/>
      <c r="H9" s="500"/>
      <c r="I9" s="500"/>
      <c r="J9" s="500"/>
      <c r="K9" s="500"/>
      <c r="L9" s="500"/>
      <c r="M9" s="500"/>
      <c r="N9" s="500"/>
      <c r="O9" s="500"/>
      <c r="P9" s="500"/>
      <c r="Q9" s="500"/>
      <c r="R9" s="500"/>
      <c r="S9" s="501"/>
      <c r="T9" s="109"/>
      <c r="U9" s="110"/>
      <c r="V9" s="111"/>
      <c r="W9" s="111"/>
      <c r="X9" s="111"/>
      <c r="Y9" s="460" t="s">
        <v>149</v>
      </c>
      <c r="Z9" s="460"/>
      <c r="AA9" s="461"/>
      <c r="AB9" s="462" t="s">
        <v>158</v>
      </c>
      <c r="AC9" s="460"/>
      <c r="AD9" s="461"/>
      <c r="AE9" s="112" t="s">
        <v>159</v>
      </c>
      <c r="AF9" s="112" t="s">
        <v>160</v>
      </c>
      <c r="AG9" s="112" t="s">
        <v>403</v>
      </c>
    </row>
    <row r="10" spans="1:33" ht="14.25" customHeight="1" thickTop="1" x14ac:dyDescent="0.3">
      <c r="A10" s="114"/>
      <c r="B10" s="115">
        <v>1</v>
      </c>
      <c r="C10" s="513" t="s">
        <v>161</v>
      </c>
      <c r="D10" s="514"/>
      <c r="E10" s="514"/>
      <c r="F10" s="514"/>
      <c r="G10" s="514"/>
      <c r="H10" s="514"/>
      <c r="I10" s="514"/>
      <c r="J10" s="514"/>
      <c r="K10" s="514"/>
      <c r="L10" s="514"/>
      <c r="M10" s="514"/>
      <c r="N10" s="514"/>
      <c r="O10" s="514"/>
      <c r="P10" s="514"/>
      <c r="Q10" s="514"/>
      <c r="R10" s="514"/>
      <c r="S10" s="515"/>
      <c r="T10" s="278">
        <v>1</v>
      </c>
      <c r="U10" s="359" t="s">
        <v>162</v>
      </c>
      <c r="V10" s="88">
        <f t="shared" ref="V10:V19" si="0">SUM(Y10+Z10)</f>
        <v>0</v>
      </c>
      <c r="W10" s="89">
        <f t="shared" ref="W10:W19" si="1">T10*V10</f>
        <v>0</v>
      </c>
      <c r="X10" s="89">
        <f>SUM(AB10+AC10)*T10</f>
        <v>172500</v>
      </c>
      <c r="Y10" s="118">
        <f t="shared" ref="Y10:Y19" si="2">SUM(Z10*AA10)</f>
        <v>0</v>
      </c>
      <c r="Z10" s="119">
        <v>0</v>
      </c>
      <c r="AA10" s="120">
        <v>0.1</v>
      </c>
      <c r="AB10" s="121">
        <f t="shared" ref="AB10:AB19" si="3">SUM(AC10*AD10)</f>
        <v>22500</v>
      </c>
      <c r="AC10" s="122">
        <v>150000</v>
      </c>
      <c r="AD10" s="123">
        <v>0.15</v>
      </c>
      <c r="AE10" s="124">
        <f>SUM(T10*Z10)</f>
        <v>0</v>
      </c>
      <c r="AF10" s="124">
        <f>(AC10*T10)</f>
        <v>150000</v>
      </c>
    </row>
    <row r="11" spans="1:33" ht="14.25" customHeight="1" x14ac:dyDescent="0.3">
      <c r="A11" s="58" t="s">
        <v>163</v>
      </c>
      <c r="B11" s="491">
        <v>2</v>
      </c>
      <c r="C11" s="516" t="s">
        <v>164</v>
      </c>
      <c r="D11" s="517"/>
      <c r="E11" s="517"/>
      <c r="F11" s="517"/>
      <c r="G11" s="517"/>
      <c r="H11" s="517"/>
      <c r="I11" s="517"/>
      <c r="J11" s="517"/>
      <c r="K11" s="517"/>
      <c r="L11" s="517"/>
      <c r="M11" s="517"/>
      <c r="N11" s="517"/>
      <c r="O11" s="517"/>
      <c r="P11" s="517"/>
      <c r="Q11" s="517"/>
      <c r="R11" s="517"/>
      <c r="S11" s="518"/>
      <c r="T11" s="125">
        <v>1</v>
      </c>
      <c r="U11" s="126" t="s">
        <v>162</v>
      </c>
      <c r="V11" s="127">
        <f t="shared" si="0"/>
        <v>0</v>
      </c>
      <c r="W11" s="128">
        <f t="shared" si="1"/>
        <v>0</v>
      </c>
      <c r="X11" s="127">
        <v>0</v>
      </c>
      <c r="Y11" s="129">
        <f t="shared" si="2"/>
        <v>0</v>
      </c>
      <c r="Z11" s="119">
        <v>0</v>
      </c>
      <c r="AA11" s="130">
        <v>0.1</v>
      </c>
      <c r="AB11" s="131">
        <f t="shared" si="3"/>
        <v>0</v>
      </c>
      <c r="AC11" s="132">
        <v>0</v>
      </c>
      <c r="AD11" s="133">
        <v>0.15</v>
      </c>
      <c r="AE11" s="134">
        <v>1</v>
      </c>
      <c r="AF11" s="124">
        <f t="shared" ref="AF11:AF19" si="4">(AC11*T11)</f>
        <v>0</v>
      </c>
    </row>
    <row r="12" spans="1:33" ht="14.25" customHeight="1" x14ac:dyDescent="0.3">
      <c r="A12" s="59" t="s">
        <v>163</v>
      </c>
      <c r="B12" s="492"/>
      <c r="C12" s="516" t="s">
        <v>165</v>
      </c>
      <c r="D12" s="517"/>
      <c r="E12" s="517"/>
      <c r="F12" s="517"/>
      <c r="G12" s="517"/>
      <c r="H12" s="517"/>
      <c r="I12" s="517"/>
      <c r="J12" s="517"/>
      <c r="K12" s="517"/>
      <c r="L12" s="517"/>
      <c r="M12" s="517"/>
      <c r="N12" s="517"/>
      <c r="O12" s="517"/>
      <c r="P12" s="517"/>
      <c r="Q12" s="517"/>
      <c r="R12" s="517"/>
      <c r="S12" s="518"/>
      <c r="T12" s="125">
        <v>1</v>
      </c>
      <c r="U12" s="126" t="s">
        <v>162</v>
      </c>
      <c r="V12" s="127">
        <f t="shared" si="0"/>
        <v>0</v>
      </c>
      <c r="W12" s="128">
        <f t="shared" si="1"/>
        <v>0</v>
      </c>
      <c r="X12" s="127">
        <v>0</v>
      </c>
      <c r="Y12" s="129">
        <f t="shared" si="2"/>
        <v>0</v>
      </c>
      <c r="Z12" s="119">
        <v>0</v>
      </c>
      <c r="AA12" s="130">
        <v>0.1</v>
      </c>
      <c r="AB12" s="131">
        <f t="shared" si="3"/>
        <v>0</v>
      </c>
      <c r="AC12" s="132">
        <v>0</v>
      </c>
      <c r="AD12" s="133">
        <v>0.15</v>
      </c>
      <c r="AE12" s="134">
        <v>1</v>
      </c>
      <c r="AF12" s="124">
        <f t="shared" si="4"/>
        <v>0</v>
      </c>
    </row>
    <row r="13" spans="1:33" ht="14.25" customHeight="1" x14ac:dyDescent="0.3">
      <c r="A13" s="59" t="s">
        <v>163</v>
      </c>
      <c r="B13" s="493"/>
      <c r="C13" s="516" t="s">
        <v>166</v>
      </c>
      <c r="D13" s="517"/>
      <c r="E13" s="517"/>
      <c r="F13" s="517"/>
      <c r="G13" s="517"/>
      <c r="H13" s="517"/>
      <c r="I13" s="517"/>
      <c r="J13" s="517"/>
      <c r="K13" s="517"/>
      <c r="L13" s="517"/>
      <c r="M13" s="517"/>
      <c r="N13" s="517"/>
      <c r="O13" s="517"/>
      <c r="P13" s="517"/>
      <c r="Q13" s="517"/>
      <c r="R13" s="517"/>
      <c r="S13" s="518"/>
      <c r="T13" s="125">
        <v>1</v>
      </c>
      <c r="U13" s="126" t="s">
        <v>162</v>
      </c>
      <c r="V13" s="127">
        <f t="shared" si="0"/>
        <v>0</v>
      </c>
      <c r="W13" s="128">
        <f t="shared" si="1"/>
        <v>0</v>
      </c>
      <c r="X13" s="127">
        <v>0</v>
      </c>
      <c r="Y13" s="129">
        <f t="shared" si="2"/>
        <v>0</v>
      </c>
      <c r="Z13" s="119">
        <v>0</v>
      </c>
      <c r="AA13" s="130">
        <v>0.1</v>
      </c>
      <c r="AB13" s="131">
        <f t="shared" si="3"/>
        <v>0</v>
      </c>
      <c r="AC13" s="132">
        <v>0</v>
      </c>
      <c r="AD13" s="133">
        <v>0.15</v>
      </c>
      <c r="AE13" s="134">
        <v>1</v>
      </c>
      <c r="AF13" s="124">
        <f t="shared" si="4"/>
        <v>0</v>
      </c>
    </row>
    <row r="14" spans="1:33" ht="14.25" customHeight="1" x14ac:dyDescent="0.3">
      <c r="A14" s="114"/>
      <c r="B14" s="283">
        <v>3</v>
      </c>
      <c r="C14" s="507" t="s">
        <v>167</v>
      </c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8"/>
      <c r="Q14" s="508"/>
      <c r="R14" s="508"/>
      <c r="S14" s="509"/>
      <c r="T14" s="278">
        <v>1</v>
      </c>
      <c r="U14" s="359" t="s">
        <v>162</v>
      </c>
      <c r="V14" s="88">
        <f t="shared" si="0"/>
        <v>0</v>
      </c>
      <c r="W14" s="89">
        <f t="shared" si="1"/>
        <v>0</v>
      </c>
      <c r="X14" s="89">
        <f t="shared" ref="X14:X19" si="5">SUM(AB14+AC14)*T14</f>
        <v>69000</v>
      </c>
      <c r="Y14" s="118">
        <f t="shared" si="2"/>
        <v>0</v>
      </c>
      <c r="Z14" s="119">
        <v>0</v>
      </c>
      <c r="AA14" s="120">
        <v>0.1</v>
      </c>
      <c r="AB14" s="121">
        <f t="shared" si="3"/>
        <v>9000</v>
      </c>
      <c r="AC14" s="122">
        <v>60000</v>
      </c>
      <c r="AD14" s="123">
        <v>0.15</v>
      </c>
      <c r="AE14" s="124">
        <f t="shared" ref="AE14:AE19" si="6">SUM(T14*Z14)</f>
        <v>0</v>
      </c>
      <c r="AF14" s="124">
        <f t="shared" si="4"/>
        <v>60000</v>
      </c>
    </row>
    <row r="15" spans="1:33" ht="14.25" customHeight="1" x14ac:dyDescent="0.3">
      <c r="A15" s="136"/>
      <c r="B15" s="137">
        <v>4</v>
      </c>
      <c r="C15" s="507" t="s">
        <v>168</v>
      </c>
      <c r="D15" s="508"/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  <c r="Q15" s="508"/>
      <c r="R15" s="508"/>
      <c r="S15" s="509"/>
      <c r="T15" s="278">
        <v>1</v>
      </c>
      <c r="U15" s="359" t="s">
        <v>162</v>
      </c>
      <c r="V15" s="88">
        <f t="shared" si="0"/>
        <v>0</v>
      </c>
      <c r="W15" s="89">
        <f t="shared" si="1"/>
        <v>0</v>
      </c>
      <c r="X15" s="89">
        <f t="shared" si="5"/>
        <v>172500</v>
      </c>
      <c r="Y15" s="118">
        <f t="shared" si="2"/>
        <v>0</v>
      </c>
      <c r="Z15" s="119">
        <v>0</v>
      </c>
      <c r="AA15" s="120">
        <v>0.1</v>
      </c>
      <c r="AB15" s="121">
        <f t="shared" si="3"/>
        <v>22500</v>
      </c>
      <c r="AC15" s="122">
        <v>150000</v>
      </c>
      <c r="AD15" s="123">
        <v>0.15</v>
      </c>
      <c r="AE15" s="124">
        <f t="shared" si="6"/>
        <v>0</v>
      </c>
      <c r="AF15" s="124">
        <f t="shared" si="4"/>
        <v>150000</v>
      </c>
    </row>
    <row r="16" spans="1:33" ht="14.25" customHeight="1" x14ac:dyDescent="0.3">
      <c r="A16" s="136"/>
      <c r="B16" s="283">
        <v>5</v>
      </c>
      <c r="C16" s="507" t="s">
        <v>169</v>
      </c>
      <c r="D16" s="508"/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9"/>
      <c r="T16" s="278">
        <v>1</v>
      </c>
      <c r="U16" s="359" t="s">
        <v>162</v>
      </c>
      <c r="V16" s="88">
        <f t="shared" si="0"/>
        <v>0</v>
      </c>
      <c r="W16" s="89">
        <f t="shared" si="1"/>
        <v>0</v>
      </c>
      <c r="X16" s="89">
        <f t="shared" si="5"/>
        <v>80500</v>
      </c>
      <c r="Y16" s="118">
        <f t="shared" si="2"/>
        <v>0</v>
      </c>
      <c r="Z16" s="119">
        <v>0</v>
      </c>
      <c r="AA16" s="120">
        <v>0.1</v>
      </c>
      <c r="AB16" s="121">
        <f t="shared" si="3"/>
        <v>10500</v>
      </c>
      <c r="AC16" s="122">
        <v>70000</v>
      </c>
      <c r="AD16" s="123">
        <v>0.15</v>
      </c>
      <c r="AE16" s="124">
        <f t="shared" si="6"/>
        <v>0</v>
      </c>
      <c r="AF16" s="124">
        <f t="shared" si="4"/>
        <v>70000</v>
      </c>
    </row>
    <row r="17" spans="1:33" ht="14.25" customHeight="1" x14ac:dyDescent="0.3">
      <c r="A17" s="114"/>
      <c r="B17" s="137">
        <v>6</v>
      </c>
      <c r="C17" s="189" t="s">
        <v>170</v>
      </c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190"/>
      <c r="T17" s="278">
        <v>1</v>
      </c>
      <c r="U17" s="359" t="s">
        <v>162</v>
      </c>
      <c r="V17" s="88">
        <f t="shared" si="0"/>
        <v>0</v>
      </c>
      <c r="W17" s="89">
        <f t="shared" si="1"/>
        <v>0</v>
      </c>
      <c r="X17" s="89">
        <f t="shared" si="5"/>
        <v>69000</v>
      </c>
      <c r="Y17" s="118">
        <f t="shared" si="2"/>
        <v>0</v>
      </c>
      <c r="Z17" s="119">
        <v>0</v>
      </c>
      <c r="AA17" s="120">
        <v>0.1</v>
      </c>
      <c r="AB17" s="121">
        <f t="shared" si="3"/>
        <v>9000</v>
      </c>
      <c r="AC17" s="122">
        <v>60000</v>
      </c>
      <c r="AD17" s="123">
        <v>0.15</v>
      </c>
      <c r="AE17" s="124">
        <f t="shared" si="6"/>
        <v>0</v>
      </c>
      <c r="AF17" s="124">
        <f t="shared" si="4"/>
        <v>60000</v>
      </c>
    </row>
    <row r="18" spans="1:33" ht="14.25" customHeight="1" x14ac:dyDescent="0.3">
      <c r="A18" s="114"/>
      <c r="B18" s="283">
        <v>7</v>
      </c>
      <c r="C18" s="189" t="s">
        <v>171</v>
      </c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190"/>
      <c r="T18" s="278">
        <v>1</v>
      </c>
      <c r="U18" s="359" t="s">
        <v>162</v>
      </c>
      <c r="V18" s="88">
        <f t="shared" si="0"/>
        <v>0</v>
      </c>
      <c r="W18" s="89">
        <f t="shared" si="1"/>
        <v>0</v>
      </c>
      <c r="X18" s="89">
        <f t="shared" si="5"/>
        <v>34500</v>
      </c>
      <c r="Y18" s="118">
        <f t="shared" si="2"/>
        <v>0</v>
      </c>
      <c r="Z18" s="119">
        <v>0</v>
      </c>
      <c r="AA18" s="120">
        <v>0.1</v>
      </c>
      <c r="AB18" s="121">
        <f t="shared" si="3"/>
        <v>4500</v>
      </c>
      <c r="AC18" s="122">
        <v>30000</v>
      </c>
      <c r="AD18" s="123">
        <v>0.15</v>
      </c>
      <c r="AE18" s="124">
        <f t="shared" si="6"/>
        <v>0</v>
      </c>
      <c r="AF18" s="124">
        <f t="shared" si="4"/>
        <v>30000</v>
      </c>
    </row>
    <row r="19" spans="1:33" ht="14.25" customHeight="1" thickBot="1" x14ac:dyDescent="0.35">
      <c r="A19" s="114"/>
      <c r="B19" s="137">
        <v>8</v>
      </c>
      <c r="C19" s="189" t="s">
        <v>172</v>
      </c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190"/>
      <c r="T19" s="278">
        <v>1</v>
      </c>
      <c r="U19" s="359" t="s">
        <v>162</v>
      </c>
      <c r="V19" s="88">
        <f t="shared" si="0"/>
        <v>0</v>
      </c>
      <c r="W19" s="89">
        <f t="shared" si="1"/>
        <v>0</v>
      </c>
      <c r="X19" s="89">
        <f t="shared" si="5"/>
        <v>69000</v>
      </c>
      <c r="Y19" s="118">
        <f t="shared" si="2"/>
        <v>0</v>
      </c>
      <c r="Z19" s="119">
        <v>0</v>
      </c>
      <c r="AA19" s="120">
        <v>0.1</v>
      </c>
      <c r="AB19" s="121">
        <f t="shared" si="3"/>
        <v>9000</v>
      </c>
      <c r="AC19" s="122">
        <v>60000</v>
      </c>
      <c r="AD19" s="123">
        <v>0.15</v>
      </c>
      <c r="AE19" s="124">
        <f t="shared" si="6"/>
        <v>0</v>
      </c>
      <c r="AF19" s="124">
        <f t="shared" si="4"/>
        <v>60000</v>
      </c>
    </row>
    <row r="20" spans="1:33" ht="14.25" customHeight="1" thickBot="1" x14ac:dyDescent="0.35">
      <c r="A20" s="136"/>
      <c r="B20" s="140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2"/>
      <c r="S20" s="466" t="s">
        <v>173</v>
      </c>
      <c r="T20" s="467"/>
      <c r="U20" s="467"/>
      <c r="V20" s="468"/>
      <c r="W20" s="143">
        <f>SUM(W7:W19)</f>
        <v>0</v>
      </c>
      <c r="X20" s="144">
        <f>SUM(X10:X19)</f>
        <v>667000</v>
      </c>
      <c r="Y20" s="460" t="s">
        <v>149</v>
      </c>
      <c r="Z20" s="460"/>
      <c r="AA20" s="461"/>
      <c r="AB20" s="462" t="s">
        <v>158</v>
      </c>
      <c r="AC20" s="460"/>
      <c r="AD20" s="461"/>
      <c r="AF20" s="145">
        <f>SUM(AF10:AF19)</f>
        <v>580000</v>
      </c>
      <c r="AG20" s="145">
        <f>AE20+AF20</f>
        <v>580000</v>
      </c>
    </row>
    <row r="21" spans="1:33" ht="14.25" customHeight="1" x14ac:dyDescent="0.3">
      <c r="A21" s="146" t="s">
        <v>174</v>
      </c>
      <c r="B21" s="488" t="s">
        <v>175</v>
      </c>
      <c r="C21" s="489"/>
      <c r="D21" s="489"/>
      <c r="E21" s="489"/>
      <c r="F21" s="489"/>
      <c r="G21" s="489"/>
      <c r="H21" s="489"/>
      <c r="I21" s="489"/>
      <c r="J21" s="489"/>
      <c r="K21" s="489"/>
      <c r="L21" s="489"/>
      <c r="M21" s="489"/>
      <c r="N21" s="489"/>
      <c r="O21" s="489"/>
      <c r="P21" s="489"/>
      <c r="Q21" s="489"/>
      <c r="R21" s="489"/>
      <c r="S21" s="490"/>
      <c r="T21" s="147"/>
      <c r="U21" s="148"/>
      <c r="V21" s="149"/>
      <c r="W21" s="150"/>
      <c r="X21" s="150"/>
      <c r="AE21" s="113"/>
      <c r="AF21" s="113"/>
    </row>
    <row r="22" spans="1:33" ht="14.25" customHeight="1" x14ac:dyDescent="0.3">
      <c r="A22" s="114"/>
      <c r="B22" s="151">
        <v>1</v>
      </c>
      <c r="C22" s="507" t="s">
        <v>176</v>
      </c>
      <c r="D22" s="508"/>
      <c r="E22" s="508"/>
      <c r="F22" s="508"/>
      <c r="G22" s="508"/>
      <c r="H22" s="508"/>
      <c r="I22" s="508"/>
      <c r="J22" s="508"/>
      <c r="K22" s="508"/>
      <c r="L22" s="508"/>
      <c r="M22" s="508"/>
      <c r="N22" s="508"/>
      <c r="O22" s="508"/>
      <c r="P22" s="508"/>
      <c r="Q22" s="508"/>
      <c r="R22" s="508"/>
      <c r="S22" s="509"/>
      <c r="T22" s="152">
        <v>1</v>
      </c>
      <c r="U22" s="148" t="s">
        <v>162</v>
      </c>
      <c r="V22" s="149">
        <f>SUM(Y22+Z22)</f>
        <v>0</v>
      </c>
      <c r="W22" s="153">
        <f>T22*V22</f>
        <v>0</v>
      </c>
      <c r="X22" s="89">
        <f>SUM(AB22+AC22)*T22</f>
        <v>17250</v>
      </c>
      <c r="Y22" s="129">
        <f>SUM(Z22*AA22)</f>
        <v>0</v>
      </c>
      <c r="Z22" s="119">
        <v>0</v>
      </c>
      <c r="AA22" s="130">
        <v>0.1</v>
      </c>
      <c r="AB22" s="131">
        <f>SUM(AC22*AD22)</f>
        <v>2250</v>
      </c>
      <c r="AC22" s="132">
        <v>15000</v>
      </c>
      <c r="AD22" s="133">
        <v>0.15</v>
      </c>
      <c r="AE22" s="134">
        <v>1</v>
      </c>
      <c r="AF22" s="154">
        <f t="shared" ref="AF22:AF26" si="7">AC22</f>
        <v>15000</v>
      </c>
    </row>
    <row r="23" spans="1:33" ht="14.25" customHeight="1" x14ac:dyDescent="0.3">
      <c r="A23" s="114"/>
      <c r="B23" s="485">
        <v>2</v>
      </c>
      <c r="C23" s="507" t="s">
        <v>177</v>
      </c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8"/>
      <c r="S23" s="509"/>
      <c r="T23" s="152">
        <v>1</v>
      </c>
      <c r="U23" s="148" t="s">
        <v>162</v>
      </c>
      <c r="V23" s="149">
        <f>SUM(Y23+Z23)</f>
        <v>0</v>
      </c>
      <c r="W23" s="153">
        <f>T23*V23</f>
        <v>0</v>
      </c>
      <c r="X23" s="89">
        <f>SUM(AB23+AC23)*T23</f>
        <v>92000</v>
      </c>
      <c r="Y23" s="129">
        <f>SUM(Z23*AA23)</f>
        <v>0</v>
      </c>
      <c r="Z23" s="119">
        <v>0</v>
      </c>
      <c r="AA23" s="130">
        <v>0.1</v>
      </c>
      <c r="AB23" s="131">
        <f>SUM(AC23*AD23)</f>
        <v>12000</v>
      </c>
      <c r="AC23" s="132">
        <v>80000</v>
      </c>
      <c r="AD23" s="133">
        <v>0.15</v>
      </c>
      <c r="AE23" s="134">
        <v>1</v>
      </c>
      <c r="AF23" s="154">
        <f t="shared" si="7"/>
        <v>80000</v>
      </c>
    </row>
    <row r="24" spans="1:33" ht="14.25" customHeight="1" x14ac:dyDescent="0.3">
      <c r="A24" s="114"/>
      <c r="B24" s="486"/>
      <c r="C24" s="507" t="s">
        <v>178</v>
      </c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9"/>
      <c r="T24" s="152">
        <v>1</v>
      </c>
      <c r="U24" s="148" t="s">
        <v>162</v>
      </c>
      <c r="V24" s="149">
        <f>SUM(Y24+Z24)</f>
        <v>0</v>
      </c>
      <c r="W24" s="153">
        <f>T24*V24</f>
        <v>0</v>
      </c>
      <c r="X24" s="89">
        <f>SUM(AB24+AC24)*T24</f>
        <v>80500</v>
      </c>
      <c r="Y24" s="129">
        <f>SUM(Z24*AA24)</f>
        <v>0</v>
      </c>
      <c r="Z24" s="119">
        <v>0</v>
      </c>
      <c r="AA24" s="130">
        <v>0.1</v>
      </c>
      <c r="AB24" s="131">
        <f>SUM(AC24*AD24)</f>
        <v>10500</v>
      </c>
      <c r="AC24" s="132">
        <v>70000</v>
      </c>
      <c r="AD24" s="133">
        <v>0.15</v>
      </c>
      <c r="AE24" s="134">
        <v>1</v>
      </c>
      <c r="AF24" s="154">
        <f t="shared" si="7"/>
        <v>70000</v>
      </c>
    </row>
    <row r="25" spans="1:33" ht="14.25" customHeight="1" x14ac:dyDescent="0.3">
      <c r="A25" s="114"/>
      <c r="B25" s="486"/>
      <c r="C25" s="507" t="s">
        <v>179</v>
      </c>
      <c r="D25" s="508"/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8"/>
      <c r="R25" s="508"/>
      <c r="S25" s="509"/>
      <c r="T25" s="152">
        <v>1</v>
      </c>
      <c r="U25" s="148" t="s">
        <v>162</v>
      </c>
      <c r="V25" s="149">
        <f>SUM(Y25+Z25)</f>
        <v>0</v>
      </c>
      <c r="W25" s="153">
        <f>T25*V25</f>
        <v>0</v>
      </c>
      <c r="X25" s="89">
        <f>SUM(AB25+AC25)*T25</f>
        <v>23000</v>
      </c>
      <c r="Y25" s="129">
        <f>SUM(Z25*AA25)</f>
        <v>0</v>
      </c>
      <c r="Z25" s="119">
        <v>0</v>
      </c>
      <c r="AA25" s="130">
        <v>0.1</v>
      </c>
      <c r="AB25" s="131">
        <f>SUM(AC25*AD25)</f>
        <v>3000</v>
      </c>
      <c r="AC25" s="132">
        <v>20000</v>
      </c>
      <c r="AD25" s="133">
        <v>0.15</v>
      </c>
      <c r="AE25" s="134">
        <v>1</v>
      </c>
      <c r="AF25" s="154">
        <f t="shared" si="7"/>
        <v>20000</v>
      </c>
    </row>
    <row r="26" spans="1:33" ht="14.25" customHeight="1" thickBot="1" x14ac:dyDescent="0.35">
      <c r="A26" s="136"/>
      <c r="B26" s="487"/>
      <c r="C26" s="510" t="s">
        <v>180</v>
      </c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1"/>
      <c r="S26" s="512"/>
      <c r="T26" s="152">
        <v>1</v>
      </c>
      <c r="U26" s="148" t="s">
        <v>162</v>
      </c>
      <c r="V26" s="149">
        <f>SUM(Y26+Z26)</f>
        <v>0</v>
      </c>
      <c r="W26" s="153">
        <f>T26*V26</f>
        <v>0</v>
      </c>
      <c r="X26" s="89">
        <f>SUM(AB26+AC26)*T26</f>
        <v>69000</v>
      </c>
      <c r="Y26" s="129">
        <f>SUM(Z26*AA26)</f>
        <v>0</v>
      </c>
      <c r="Z26" s="119">
        <v>0</v>
      </c>
      <c r="AA26" s="130">
        <v>0.1</v>
      </c>
      <c r="AB26" s="131">
        <f>SUM(AC26*AD26)</f>
        <v>9000</v>
      </c>
      <c r="AC26" s="132">
        <v>60000</v>
      </c>
      <c r="AD26" s="133">
        <v>0.15</v>
      </c>
      <c r="AE26" s="134">
        <v>1</v>
      </c>
      <c r="AF26" s="154">
        <f t="shared" si="7"/>
        <v>60000</v>
      </c>
    </row>
    <row r="27" spans="1:33" s="157" customFormat="1" ht="14.25" customHeight="1" thickBot="1" x14ac:dyDescent="0.35">
      <c r="A27" s="136"/>
      <c r="B27" s="155"/>
      <c r="C27" s="413"/>
      <c r="D27" s="414"/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5"/>
      <c r="S27" s="466" t="s">
        <v>181</v>
      </c>
      <c r="T27" s="467"/>
      <c r="U27" s="467"/>
      <c r="V27" s="468"/>
      <c r="W27" s="143">
        <f>SUM(W14:W26)</f>
        <v>0</v>
      </c>
      <c r="X27" s="144">
        <f>SUM(X22:X26)</f>
        <v>281750</v>
      </c>
      <c r="Y27" s="460" t="s">
        <v>149</v>
      </c>
      <c r="Z27" s="460"/>
      <c r="AA27" s="461"/>
      <c r="AB27" s="462" t="s">
        <v>158</v>
      </c>
      <c r="AC27" s="460"/>
      <c r="AD27" s="461"/>
      <c r="AE27" s="156"/>
      <c r="AF27" s="145">
        <f>SUM(AF22:AF26)</f>
        <v>245000</v>
      </c>
      <c r="AG27" s="145">
        <f>AE27+AF27</f>
        <v>245000</v>
      </c>
    </row>
    <row r="28" spans="1:33" s="157" customFormat="1" ht="14.25" customHeight="1" x14ac:dyDescent="0.3">
      <c r="A28" s="60" t="s">
        <v>182</v>
      </c>
      <c r="B28" s="158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159"/>
      <c r="S28" s="159"/>
      <c r="T28" s="160"/>
      <c r="U28" s="161"/>
      <c r="V28" s="162"/>
      <c r="W28" s="163"/>
      <c r="X28" s="168"/>
      <c r="Y28" s="118"/>
      <c r="Z28" s="156"/>
      <c r="AA28" s="120"/>
      <c r="AB28" s="121"/>
      <c r="AC28" s="234"/>
      <c r="AD28" s="123"/>
    </row>
    <row r="29" spans="1:33" s="157" customFormat="1" ht="14.25" customHeight="1" x14ac:dyDescent="0.3">
      <c r="A29" s="61" t="s">
        <v>183</v>
      </c>
      <c r="B29" s="164" t="s">
        <v>184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59"/>
      <c r="T29" s="160"/>
      <c r="U29" s="165"/>
      <c r="V29" s="166"/>
      <c r="W29" s="167"/>
      <c r="X29" s="168"/>
      <c r="Y29" s="118"/>
      <c r="Z29" s="156"/>
      <c r="AA29" s="120"/>
      <c r="AB29" s="121"/>
      <c r="AC29" s="234"/>
      <c r="AD29" s="123"/>
    </row>
    <row r="30" spans="1:33" s="157" customFormat="1" ht="14.25" customHeight="1" x14ac:dyDescent="0.3">
      <c r="A30" s="62" t="s">
        <v>185</v>
      </c>
      <c r="B30" s="484" t="s">
        <v>186</v>
      </c>
      <c r="C30" s="484"/>
      <c r="D30" s="484"/>
      <c r="E30" s="484"/>
      <c r="F30" s="484"/>
      <c r="G30" s="484"/>
      <c r="H30" s="484"/>
      <c r="I30" s="484"/>
      <c r="J30" s="484"/>
      <c r="K30" s="484"/>
      <c r="L30" s="484"/>
      <c r="M30" s="484"/>
      <c r="N30" s="484"/>
      <c r="O30" s="484"/>
      <c r="P30" s="484"/>
      <c r="Q30" s="484"/>
      <c r="R30" s="484"/>
      <c r="S30" s="159"/>
      <c r="T30" s="160"/>
      <c r="U30" s="165"/>
      <c r="V30" s="168"/>
      <c r="W30" s="167"/>
      <c r="X30" s="168"/>
      <c r="Y30" s="118"/>
      <c r="Z30" s="156"/>
      <c r="AA30" s="120"/>
      <c r="AB30" s="121"/>
      <c r="AC30" s="234"/>
      <c r="AD30" s="123"/>
    </row>
    <row r="31" spans="1:33" s="157" customFormat="1" ht="14.25" customHeight="1" x14ac:dyDescent="0.3">
      <c r="A31" s="63" t="s">
        <v>163</v>
      </c>
      <c r="B31" s="169" t="s">
        <v>187</v>
      </c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1"/>
      <c r="T31" s="172"/>
      <c r="U31" s="172"/>
      <c r="V31" s="173"/>
      <c r="W31" s="174"/>
      <c r="X31" s="175"/>
      <c r="Y31" s="118"/>
      <c r="Z31" s="156"/>
      <c r="AA31" s="120"/>
      <c r="AB31" s="121"/>
      <c r="AC31" s="234"/>
      <c r="AD31" s="123"/>
    </row>
    <row r="32" spans="1:33" ht="14.25" customHeight="1" x14ac:dyDescent="0.3">
      <c r="A32" s="106" t="s">
        <v>188</v>
      </c>
      <c r="B32" s="176" t="s">
        <v>189</v>
      </c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8"/>
      <c r="T32" s="361"/>
      <c r="U32" s="361"/>
      <c r="V32" s="361"/>
      <c r="W32" s="361"/>
      <c r="X32" s="362"/>
      <c r="Y32" s="118"/>
      <c r="Z32" s="156"/>
      <c r="AA32" s="120"/>
      <c r="AB32" s="121"/>
      <c r="AC32" s="234"/>
      <c r="AD32" s="123"/>
      <c r="AE32" s="113"/>
      <c r="AF32" s="113"/>
    </row>
    <row r="33" spans="1:33" ht="14.4" x14ac:dyDescent="0.3">
      <c r="A33" s="146" t="s">
        <v>190</v>
      </c>
      <c r="B33" s="472" t="s">
        <v>191</v>
      </c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4"/>
      <c r="T33" s="179"/>
      <c r="U33" s="179"/>
      <c r="V33" s="179"/>
      <c r="W33" s="363"/>
      <c r="X33" s="363"/>
      <c r="Y33" s="118"/>
      <c r="Z33" s="156"/>
      <c r="AA33" s="120"/>
      <c r="AB33" s="121"/>
      <c r="AC33" s="234"/>
      <c r="AD33" s="123"/>
      <c r="AE33" s="113"/>
      <c r="AF33" s="113"/>
    </row>
    <row r="34" spans="1:33" s="157" customFormat="1" x14ac:dyDescent="0.3">
      <c r="A34" s="64" t="s">
        <v>185</v>
      </c>
      <c r="B34" s="180">
        <v>1</v>
      </c>
      <c r="C34" s="181" t="s">
        <v>192</v>
      </c>
      <c r="D34" s="182"/>
      <c r="E34" s="183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5"/>
      <c r="T34" s="357">
        <v>180</v>
      </c>
      <c r="U34" s="364" t="s">
        <v>193</v>
      </c>
      <c r="V34" s="365">
        <f t="shared" ref="V34:V38" si="8">SUM(Y34+Z34)</f>
        <v>0</v>
      </c>
      <c r="W34" s="366">
        <f>T34*V34</f>
        <v>0</v>
      </c>
      <c r="X34" s="366">
        <f t="shared" ref="X34:X39" si="9">SUM(AB34+AC34)*T34</f>
        <v>31050</v>
      </c>
      <c r="Y34" s="118">
        <f t="shared" ref="Y34:Y38" si="10">SUM(Z34*AA34)</f>
        <v>0</v>
      </c>
      <c r="Z34" s="188"/>
      <c r="AA34" s="120">
        <v>0.1</v>
      </c>
      <c r="AB34" s="121">
        <f t="shared" ref="AB34:AB38" si="11">SUM(AC34*AD34)</f>
        <v>22.5</v>
      </c>
      <c r="AC34" s="122">
        <v>150</v>
      </c>
      <c r="AD34" s="123">
        <v>0.15</v>
      </c>
      <c r="AE34" s="124">
        <f>(T34*Z34)</f>
        <v>0</v>
      </c>
      <c r="AF34" s="124">
        <f>(AC34*T34)</f>
        <v>27000</v>
      </c>
    </row>
    <row r="35" spans="1:33" s="157" customFormat="1" x14ac:dyDescent="0.3">
      <c r="A35" s="64" t="s">
        <v>185</v>
      </c>
      <c r="B35" s="180">
        <v>2</v>
      </c>
      <c r="C35" s="481" t="s">
        <v>194</v>
      </c>
      <c r="D35" s="482"/>
      <c r="E35" s="482"/>
      <c r="F35" s="482"/>
      <c r="G35" s="482"/>
      <c r="H35" s="482"/>
      <c r="I35" s="482"/>
      <c r="J35" s="482"/>
      <c r="K35" s="482"/>
      <c r="L35" s="482"/>
      <c r="M35" s="482"/>
      <c r="N35" s="482"/>
      <c r="O35" s="482"/>
      <c r="P35" s="482"/>
      <c r="Q35" s="482"/>
      <c r="R35" s="482"/>
      <c r="S35" s="483"/>
      <c r="T35" s="357">
        <v>180</v>
      </c>
      <c r="U35" s="364" t="s">
        <v>195</v>
      </c>
      <c r="V35" s="365">
        <f t="shared" si="8"/>
        <v>0</v>
      </c>
      <c r="W35" s="366">
        <f>T35*V35</f>
        <v>0</v>
      </c>
      <c r="X35" s="366">
        <f t="shared" si="9"/>
        <v>41400</v>
      </c>
      <c r="Y35" s="118">
        <f t="shared" si="10"/>
        <v>0</v>
      </c>
      <c r="Z35" s="188"/>
      <c r="AA35" s="120">
        <v>0.1</v>
      </c>
      <c r="AB35" s="121">
        <f t="shared" si="11"/>
        <v>30</v>
      </c>
      <c r="AC35" s="122">
        <v>200</v>
      </c>
      <c r="AD35" s="123">
        <v>0.15</v>
      </c>
      <c r="AE35" s="124">
        <f t="shared" ref="AE35:AE39" si="12">(T35*Z35)</f>
        <v>0</v>
      </c>
      <c r="AF35" s="124">
        <f t="shared" ref="AF35:AF39" si="13">(AC35*T35)</f>
        <v>36000</v>
      </c>
    </row>
    <row r="36" spans="1:33" s="157" customFormat="1" x14ac:dyDescent="0.3">
      <c r="A36" s="64" t="s">
        <v>185</v>
      </c>
      <c r="B36" s="180">
        <v>3</v>
      </c>
      <c r="C36" s="181" t="s">
        <v>196</v>
      </c>
      <c r="D36" s="182"/>
      <c r="E36" s="183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5"/>
      <c r="T36" s="357">
        <f>Footing!E29</f>
        <v>45.36</v>
      </c>
      <c r="U36" s="364" t="s">
        <v>195</v>
      </c>
      <c r="V36" s="365">
        <f t="shared" si="8"/>
        <v>0</v>
      </c>
      <c r="W36" s="366">
        <f>T36*V36</f>
        <v>0</v>
      </c>
      <c r="X36" s="366">
        <f t="shared" si="9"/>
        <v>78246</v>
      </c>
      <c r="Y36" s="118">
        <f t="shared" si="10"/>
        <v>0</v>
      </c>
      <c r="Z36" s="188"/>
      <c r="AA36" s="120">
        <v>0.1</v>
      </c>
      <c r="AB36" s="121">
        <f t="shared" si="11"/>
        <v>225</v>
      </c>
      <c r="AC36" s="122">
        <v>1500</v>
      </c>
      <c r="AD36" s="123">
        <v>0.15</v>
      </c>
      <c r="AE36" s="124">
        <f t="shared" si="12"/>
        <v>0</v>
      </c>
      <c r="AF36" s="124">
        <f t="shared" si="13"/>
        <v>68040</v>
      </c>
    </row>
    <row r="37" spans="1:33" s="157" customFormat="1" x14ac:dyDescent="0.3">
      <c r="A37" s="64" t="s">
        <v>185</v>
      </c>
      <c r="B37" s="180">
        <v>4</v>
      </c>
      <c r="C37" s="481" t="s">
        <v>197</v>
      </c>
      <c r="D37" s="482"/>
      <c r="E37" s="482"/>
      <c r="F37" s="482"/>
      <c r="G37" s="482"/>
      <c r="H37" s="482"/>
      <c r="I37" s="482"/>
      <c r="J37" s="482"/>
      <c r="K37" s="482"/>
      <c r="L37" s="482"/>
      <c r="M37" s="482"/>
      <c r="N37" s="482"/>
      <c r="O37" s="482"/>
      <c r="P37" s="482"/>
      <c r="Q37" s="482"/>
      <c r="R37" s="482"/>
      <c r="S37" s="483"/>
      <c r="T37" s="357">
        <f>Footing!E30</f>
        <v>32.728124999999999</v>
      </c>
      <c r="U37" s="364" t="s">
        <v>195</v>
      </c>
      <c r="V37" s="365">
        <f t="shared" si="8"/>
        <v>0</v>
      </c>
      <c r="W37" s="366">
        <f t="shared" ref="W37:W38" si="14">T37*V37</f>
        <v>0</v>
      </c>
      <c r="X37" s="366">
        <f t="shared" si="9"/>
        <v>11291.203125</v>
      </c>
      <c r="Y37" s="118">
        <f t="shared" si="10"/>
        <v>0</v>
      </c>
      <c r="Z37" s="188"/>
      <c r="AA37" s="120">
        <v>0.1</v>
      </c>
      <c r="AB37" s="121">
        <f t="shared" si="11"/>
        <v>45</v>
      </c>
      <c r="AC37" s="122">
        <v>300</v>
      </c>
      <c r="AD37" s="123">
        <v>0.15</v>
      </c>
      <c r="AE37" s="124">
        <f t="shared" si="12"/>
        <v>0</v>
      </c>
      <c r="AF37" s="124">
        <f t="shared" si="13"/>
        <v>9818.4375</v>
      </c>
    </row>
    <row r="38" spans="1:33" s="157" customFormat="1" x14ac:dyDescent="0.3">
      <c r="A38" s="64" t="s">
        <v>185</v>
      </c>
      <c r="B38" s="180">
        <v>5</v>
      </c>
      <c r="C38" s="481" t="s">
        <v>198</v>
      </c>
      <c r="D38" s="482"/>
      <c r="E38" s="482"/>
      <c r="F38" s="482"/>
      <c r="G38" s="482"/>
      <c r="H38" s="482"/>
      <c r="I38" s="482"/>
      <c r="J38" s="482"/>
      <c r="K38" s="482"/>
      <c r="L38" s="482"/>
      <c r="M38" s="482"/>
      <c r="N38" s="482"/>
      <c r="O38" s="482"/>
      <c r="P38" s="482"/>
      <c r="Q38" s="482"/>
      <c r="R38" s="482"/>
      <c r="S38" s="483"/>
      <c r="T38" s="360">
        <f>Footing!E30</f>
        <v>32.728124999999999</v>
      </c>
      <c r="U38" s="364" t="s">
        <v>195</v>
      </c>
      <c r="V38" s="365">
        <f t="shared" si="8"/>
        <v>0</v>
      </c>
      <c r="W38" s="366">
        <f t="shared" si="14"/>
        <v>0</v>
      </c>
      <c r="X38" s="366">
        <f t="shared" si="9"/>
        <v>7527.46875</v>
      </c>
      <c r="Y38" s="118">
        <f t="shared" si="10"/>
        <v>0</v>
      </c>
      <c r="Z38" s="188"/>
      <c r="AA38" s="120">
        <v>0.1</v>
      </c>
      <c r="AB38" s="121">
        <f t="shared" si="11"/>
        <v>30</v>
      </c>
      <c r="AC38" s="122">
        <v>200</v>
      </c>
      <c r="AD38" s="123">
        <v>0.15</v>
      </c>
      <c r="AE38" s="124">
        <f t="shared" si="12"/>
        <v>0</v>
      </c>
      <c r="AF38" s="124">
        <f t="shared" si="13"/>
        <v>6545.625</v>
      </c>
    </row>
    <row r="39" spans="1:33" s="157" customFormat="1" ht="14.4" thickBot="1" x14ac:dyDescent="0.35">
      <c r="A39" s="64" t="s">
        <v>185</v>
      </c>
      <c r="B39" s="180">
        <v>6</v>
      </c>
      <c r="C39" s="181" t="s">
        <v>199</v>
      </c>
      <c r="D39" s="182"/>
      <c r="E39" s="183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5"/>
      <c r="T39" s="360">
        <f>SOG!D19*SOG!E19</f>
        <v>110.89599999999999</v>
      </c>
      <c r="U39" s="364" t="s">
        <v>195</v>
      </c>
      <c r="V39" s="365">
        <f>SUM(Y39+Z39)</f>
        <v>0</v>
      </c>
      <c r="W39" s="366">
        <f>T39*V39</f>
        <v>0</v>
      </c>
      <c r="X39" s="366">
        <f t="shared" si="9"/>
        <v>38259.119999999995</v>
      </c>
      <c r="Y39" s="118">
        <f>SUM(Z39*AA39)</f>
        <v>0</v>
      </c>
      <c r="Z39" s="188"/>
      <c r="AA39" s="120">
        <v>0.1</v>
      </c>
      <c r="AB39" s="121">
        <f>SUM(AC39*AD39)</f>
        <v>45</v>
      </c>
      <c r="AC39" s="122">
        <v>300</v>
      </c>
      <c r="AD39" s="123">
        <v>0.15</v>
      </c>
      <c r="AE39" s="124">
        <f t="shared" si="12"/>
        <v>0</v>
      </c>
      <c r="AF39" s="124">
        <f t="shared" si="13"/>
        <v>33268.799999999996</v>
      </c>
    </row>
    <row r="40" spans="1:33" ht="14.4" thickBot="1" x14ac:dyDescent="0.35">
      <c r="A40" s="191"/>
      <c r="B40" s="192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478" t="s">
        <v>200</v>
      </c>
      <c r="T40" s="479"/>
      <c r="U40" s="479"/>
      <c r="V40" s="480"/>
      <c r="W40" s="194">
        <f>SUM(W34:W39)</f>
        <v>0</v>
      </c>
      <c r="X40" s="195">
        <f>SUM(X34:X39)</f>
        <v>207773.791875</v>
      </c>
      <c r="Y40" s="460" t="s">
        <v>149</v>
      </c>
      <c r="Z40" s="460"/>
      <c r="AA40" s="461"/>
      <c r="AB40" s="462" t="s">
        <v>158</v>
      </c>
      <c r="AC40" s="460"/>
      <c r="AD40" s="461"/>
      <c r="AE40" s="145">
        <f>SUM(AE34:AE39)</f>
        <v>0</v>
      </c>
      <c r="AF40" s="145">
        <f>SUM(AF34:AF39)</f>
        <v>180672.86249999999</v>
      </c>
      <c r="AG40" s="145">
        <f>AE40+AF40</f>
        <v>180672.86249999999</v>
      </c>
    </row>
    <row r="41" spans="1:33" ht="14.4" x14ac:dyDescent="0.3">
      <c r="A41" s="146" t="s">
        <v>201</v>
      </c>
      <c r="B41" s="472" t="s">
        <v>202</v>
      </c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4"/>
      <c r="T41" s="196"/>
      <c r="U41" s="148"/>
      <c r="V41" s="149"/>
      <c r="W41" s="150"/>
      <c r="X41" s="150"/>
      <c r="Y41" s="118"/>
      <c r="Z41" s="156"/>
      <c r="AA41" s="120"/>
      <c r="AB41" s="121"/>
      <c r="AC41" s="234"/>
      <c r="AD41" s="123"/>
      <c r="AE41" s="113"/>
      <c r="AF41" s="113"/>
    </row>
    <row r="42" spans="1:33" s="157" customFormat="1" x14ac:dyDescent="0.3">
      <c r="A42" s="65" t="s">
        <v>185</v>
      </c>
      <c r="B42" s="197">
        <v>1</v>
      </c>
      <c r="C42" s="198" t="s">
        <v>42</v>
      </c>
      <c r="D42" s="199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1"/>
      <c r="T42" s="358">
        <f>Footing!E26</f>
        <v>549.26097990890219</v>
      </c>
      <c r="U42" s="367" t="s">
        <v>203</v>
      </c>
      <c r="V42" s="368">
        <f t="shared" ref="V42:V47" si="15">SUM(Y42+Z42)</f>
        <v>82.5</v>
      </c>
      <c r="W42" s="369">
        <f>T42*V42</f>
        <v>45314.030842484433</v>
      </c>
      <c r="X42" s="369">
        <f t="shared" ref="X42:X48" si="16">SUM(AB42+AC42)*T42</f>
        <v>12633.002537904751</v>
      </c>
      <c r="Y42" s="118">
        <f t="shared" ref="Y42:Y47" si="17">SUM(Z42*AA42)</f>
        <v>7.5</v>
      </c>
      <c r="Z42" s="188">
        <v>75</v>
      </c>
      <c r="AA42" s="120">
        <v>0.1</v>
      </c>
      <c r="AB42" s="121">
        <f t="shared" ref="AB42:AB48" si="18">SUM(AC42*AD42)</f>
        <v>3</v>
      </c>
      <c r="AC42" s="205">
        <v>20</v>
      </c>
      <c r="AD42" s="123">
        <v>0.15</v>
      </c>
      <c r="AE42" s="124">
        <f>(T42*Z42)</f>
        <v>41194.573493167663</v>
      </c>
      <c r="AF42" s="124">
        <f>(AC42*T42)</f>
        <v>10985.219598178044</v>
      </c>
    </row>
    <row r="43" spans="1:33" s="157" customFormat="1" x14ac:dyDescent="0.3">
      <c r="A43" s="64" t="s">
        <v>185</v>
      </c>
      <c r="B43" s="180">
        <v>3</v>
      </c>
      <c r="C43" s="181" t="s">
        <v>204</v>
      </c>
      <c r="D43" s="183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5"/>
      <c r="T43" s="357">
        <f>'Column | Pedestal'!F43</f>
        <v>568.20101369886424</v>
      </c>
      <c r="U43" s="364" t="s">
        <v>203</v>
      </c>
      <c r="V43" s="370">
        <f t="shared" si="15"/>
        <v>82.5</v>
      </c>
      <c r="W43" s="371">
        <f t="shared" ref="W43:W48" si="19">T43*V43</f>
        <v>46876.583630156303</v>
      </c>
      <c r="X43" s="371">
        <f t="shared" si="16"/>
        <v>13068.623315073877</v>
      </c>
      <c r="Y43" s="118">
        <f t="shared" si="17"/>
        <v>7.5</v>
      </c>
      <c r="Z43" s="188">
        <v>75</v>
      </c>
      <c r="AA43" s="120">
        <v>0.1</v>
      </c>
      <c r="AB43" s="121">
        <f t="shared" si="18"/>
        <v>3</v>
      </c>
      <c r="AC43" s="205">
        <v>20</v>
      </c>
      <c r="AD43" s="123">
        <v>0.15</v>
      </c>
      <c r="AE43" s="124">
        <f t="shared" ref="AE43:AE48" si="20">(T43*Z43)</f>
        <v>42615.07602741482</v>
      </c>
      <c r="AF43" s="124">
        <f t="shared" ref="AF43:AF48" si="21">(AC43*T43)</f>
        <v>11364.020273977285</v>
      </c>
    </row>
    <row r="44" spans="1:33" s="157" customFormat="1" x14ac:dyDescent="0.3">
      <c r="A44" s="64" t="s">
        <v>185</v>
      </c>
      <c r="B44" s="180">
        <v>4</v>
      </c>
      <c r="C44" s="181" t="s">
        <v>205</v>
      </c>
      <c r="D44" s="183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5"/>
      <c r="T44" s="357">
        <f>'Column | Pedestal'!F44</f>
        <v>436.50859125303379</v>
      </c>
      <c r="U44" s="364" t="s">
        <v>203</v>
      </c>
      <c r="V44" s="370">
        <f t="shared" si="15"/>
        <v>82.5</v>
      </c>
      <c r="W44" s="371">
        <f t="shared" si="19"/>
        <v>36011.958778375287</v>
      </c>
      <c r="X44" s="371">
        <f t="shared" si="16"/>
        <v>10039.697598819777</v>
      </c>
      <c r="Y44" s="118">
        <f t="shared" si="17"/>
        <v>7.5</v>
      </c>
      <c r="Z44" s="188">
        <v>75</v>
      </c>
      <c r="AA44" s="120">
        <v>0.1</v>
      </c>
      <c r="AB44" s="121">
        <f t="shared" si="18"/>
        <v>3</v>
      </c>
      <c r="AC44" s="205">
        <v>20</v>
      </c>
      <c r="AD44" s="123">
        <v>0.15</v>
      </c>
      <c r="AE44" s="124">
        <f t="shared" si="20"/>
        <v>32738.144343977532</v>
      </c>
      <c r="AF44" s="124">
        <f t="shared" si="21"/>
        <v>8730.1718250606755</v>
      </c>
    </row>
    <row r="45" spans="1:33" s="157" customFormat="1" x14ac:dyDescent="0.3">
      <c r="A45" s="64" t="s">
        <v>185</v>
      </c>
      <c r="B45" s="180">
        <v>7</v>
      </c>
      <c r="C45" s="181" t="s">
        <v>95</v>
      </c>
      <c r="D45" s="183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206"/>
      <c r="T45" s="357">
        <f>SOG!E26</f>
        <v>994.35177397301254</v>
      </c>
      <c r="U45" s="364" t="s">
        <v>203</v>
      </c>
      <c r="V45" s="370">
        <f t="shared" si="15"/>
        <v>82.5</v>
      </c>
      <c r="W45" s="371">
        <f t="shared" si="19"/>
        <v>82034.021352773532</v>
      </c>
      <c r="X45" s="371">
        <f t="shared" si="16"/>
        <v>22870.090801379287</v>
      </c>
      <c r="Y45" s="118">
        <f t="shared" si="17"/>
        <v>7.5</v>
      </c>
      <c r="Z45" s="188">
        <v>75</v>
      </c>
      <c r="AA45" s="120">
        <v>0.1</v>
      </c>
      <c r="AB45" s="121">
        <f t="shared" si="18"/>
        <v>3</v>
      </c>
      <c r="AC45" s="205">
        <v>20</v>
      </c>
      <c r="AD45" s="123">
        <v>0.15</v>
      </c>
      <c r="AE45" s="124">
        <f t="shared" si="20"/>
        <v>74576.383047975934</v>
      </c>
      <c r="AF45" s="124">
        <f t="shared" si="21"/>
        <v>19887.03547946025</v>
      </c>
    </row>
    <row r="46" spans="1:33" s="157" customFormat="1" x14ac:dyDescent="0.3">
      <c r="A46" s="64" t="s">
        <v>185</v>
      </c>
      <c r="B46" s="180">
        <v>8</v>
      </c>
      <c r="C46" s="181" t="s">
        <v>130</v>
      </c>
      <c r="D46" s="183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5"/>
      <c r="T46" s="357">
        <f>'Steel Items'!S71</f>
        <v>44.390704195223783</v>
      </c>
      <c r="U46" s="364" t="s">
        <v>203</v>
      </c>
      <c r="V46" s="370">
        <f t="shared" si="15"/>
        <v>82.5</v>
      </c>
      <c r="W46" s="371">
        <f t="shared" si="19"/>
        <v>3662.233096105962</v>
      </c>
      <c r="X46" s="371">
        <f t="shared" si="16"/>
        <v>1020.986196490147</v>
      </c>
      <c r="Y46" s="118">
        <f t="shared" si="17"/>
        <v>7.5</v>
      </c>
      <c r="Z46" s="188">
        <v>75</v>
      </c>
      <c r="AA46" s="120">
        <v>0.1</v>
      </c>
      <c r="AB46" s="121">
        <f t="shared" si="18"/>
        <v>3</v>
      </c>
      <c r="AC46" s="205">
        <v>20</v>
      </c>
      <c r="AD46" s="123">
        <v>0.15</v>
      </c>
      <c r="AE46" s="124">
        <f t="shared" si="20"/>
        <v>3329.3028146417837</v>
      </c>
      <c r="AF46" s="124">
        <f t="shared" si="21"/>
        <v>887.81408390447564</v>
      </c>
    </row>
    <row r="47" spans="1:33" s="157" customFormat="1" x14ac:dyDescent="0.3">
      <c r="A47" s="64" t="s">
        <v>185</v>
      </c>
      <c r="B47" s="180">
        <v>9</v>
      </c>
      <c r="C47" s="207" t="s">
        <v>206</v>
      </c>
      <c r="D47" s="183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208"/>
      <c r="T47" s="357">
        <f>'Steel Items'!R88+'Steel Items'!R89</f>
        <v>59.187605593631716</v>
      </c>
      <c r="U47" s="364" t="s">
        <v>203</v>
      </c>
      <c r="V47" s="370">
        <f t="shared" si="15"/>
        <v>82.5</v>
      </c>
      <c r="W47" s="371">
        <f t="shared" si="19"/>
        <v>4882.9774614746166</v>
      </c>
      <c r="X47" s="371">
        <f t="shared" si="16"/>
        <v>1361.3149286535295</v>
      </c>
      <c r="Y47" s="118">
        <f t="shared" si="17"/>
        <v>7.5</v>
      </c>
      <c r="Z47" s="188">
        <v>75</v>
      </c>
      <c r="AA47" s="120">
        <v>0.1</v>
      </c>
      <c r="AB47" s="121">
        <f t="shared" si="18"/>
        <v>3</v>
      </c>
      <c r="AC47" s="205">
        <v>20</v>
      </c>
      <c r="AD47" s="123">
        <v>0.15</v>
      </c>
      <c r="AE47" s="124">
        <f t="shared" si="20"/>
        <v>4439.0704195223789</v>
      </c>
      <c r="AF47" s="124">
        <f t="shared" si="21"/>
        <v>1183.7521118726343</v>
      </c>
    </row>
    <row r="48" spans="1:33" s="157" customFormat="1" ht="14.4" thickBot="1" x14ac:dyDescent="0.35">
      <c r="A48" s="64" t="s">
        <v>185</v>
      </c>
      <c r="B48" s="180">
        <v>12</v>
      </c>
      <c r="C48" s="207" t="s">
        <v>207</v>
      </c>
      <c r="D48" s="183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208"/>
      <c r="T48" s="357">
        <f>'Steel Items'!O3</f>
        <v>5</v>
      </c>
      <c r="U48" s="364" t="s">
        <v>119</v>
      </c>
      <c r="V48" s="370">
        <f t="shared" ref="V48" si="22">SUM(Y48+Z48)</f>
        <v>82.5</v>
      </c>
      <c r="W48" s="371">
        <f t="shared" si="19"/>
        <v>412.5</v>
      </c>
      <c r="X48" s="371">
        <f t="shared" si="16"/>
        <v>115</v>
      </c>
      <c r="Y48" s="118">
        <f t="shared" ref="Y48" si="23">SUM(Z48*AA48)</f>
        <v>7.5</v>
      </c>
      <c r="Z48" s="188">
        <v>75</v>
      </c>
      <c r="AA48" s="120">
        <v>0.1</v>
      </c>
      <c r="AB48" s="121">
        <f t="shared" si="18"/>
        <v>3</v>
      </c>
      <c r="AC48" s="205">
        <v>20</v>
      </c>
      <c r="AD48" s="123">
        <v>0.15</v>
      </c>
      <c r="AE48" s="124">
        <f t="shared" si="20"/>
        <v>375</v>
      </c>
      <c r="AF48" s="124">
        <f t="shared" si="21"/>
        <v>100</v>
      </c>
    </row>
    <row r="49" spans="1:33" ht="14.4" thickBot="1" x14ac:dyDescent="0.35">
      <c r="A49" s="191"/>
      <c r="B49" s="192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478" t="s">
        <v>208</v>
      </c>
      <c r="T49" s="479"/>
      <c r="U49" s="479"/>
      <c r="V49" s="480"/>
      <c r="W49" s="194">
        <f>SUM(W42:W48)</f>
        <v>219194.30516137014</v>
      </c>
      <c r="X49" s="194">
        <f>SUM(X42:X48)</f>
        <v>61108.715378321373</v>
      </c>
      <c r="Y49" s="460" t="s">
        <v>149</v>
      </c>
      <c r="Z49" s="460"/>
      <c r="AA49" s="461"/>
      <c r="AB49" s="462" t="s">
        <v>158</v>
      </c>
      <c r="AC49" s="460"/>
      <c r="AD49" s="461"/>
      <c r="AE49" s="145">
        <f>SUM(AE42:AE47)</f>
        <v>198892.55014670014</v>
      </c>
      <c r="AF49" s="145">
        <f>SUM(AF42:AF47)</f>
        <v>53038.013372453373</v>
      </c>
      <c r="AG49" s="145">
        <f>AE49+AF49</f>
        <v>251930.56351915351</v>
      </c>
    </row>
    <row r="50" spans="1:33" ht="14.4" x14ac:dyDescent="0.3">
      <c r="A50" s="146" t="s">
        <v>209</v>
      </c>
      <c r="B50" s="472" t="s">
        <v>210</v>
      </c>
      <c r="C50" s="473"/>
      <c r="D50" s="473"/>
      <c r="E50" s="473"/>
      <c r="F50" s="473"/>
      <c r="G50" s="473"/>
      <c r="H50" s="473"/>
      <c r="I50" s="473"/>
      <c r="J50" s="473"/>
      <c r="K50" s="473"/>
      <c r="L50" s="473"/>
      <c r="M50" s="473"/>
      <c r="N50" s="473"/>
      <c r="O50" s="473"/>
      <c r="P50" s="473"/>
      <c r="Q50" s="473"/>
      <c r="R50" s="473"/>
      <c r="S50" s="474"/>
      <c r="T50" s="179"/>
      <c r="U50" s="148"/>
      <c r="V50" s="149"/>
      <c r="W50" s="150"/>
      <c r="X50" s="150"/>
      <c r="Y50" s="118"/>
      <c r="Z50" s="156"/>
      <c r="AA50" s="120"/>
      <c r="AB50" s="121"/>
      <c r="AC50" s="234"/>
      <c r="AD50" s="123"/>
      <c r="AE50" s="113"/>
      <c r="AF50" s="113"/>
    </row>
    <row r="51" spans="1:33" s="157" customFormat="1" x14ac:dyDescent="0.3">
      <c r="A51" s="65" t="s">
        <v>185</v>
      </c>
      <c r="B51" s="197">
        <v>1</v>
      </c>
      <c r="C51" s="198" t="s">
        <v>42</v>
      </c>
      <c r="D51" s="199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1"/>
      <c r="T51" s="209">
        <f>Footing!E28</f>
        <v>30.24</v>
      </c>
      <c r="U51" s="367" t="s">
        <v>193</v>
      </c>
      <c r="V51" s="368">
        <f t="shared" ref="V51:V54" si="24">SUM(Y51+Z51)</f>
        <v>770</v>
      </c>
      <c r="W51" s="369">
        <f>T51*V51</f>
        <v>23284.799999999999</v>
      </c>
      <c r="X51" s="369">
        <f>SUM(AB51+AC51)*T51</f>
        <v>13910.4</v>
      </c>
      <c r="Y51" s="118">
        <f t="shared" ref="Y51:Y54" si="25">SUM(Z51*AA51)</f>
        <v>70</v>
      </c>
      <c r="Z51" s="188">
        <v>700</v>
      </c>
      <c r="AA51" s="120">
        <v>0.1</v>
      </c>
      <c r="AB51" s="121">
        <f t="shared" ref="AB51:AB54" si="26">SUM(AC51*AD51)</f>
        <v>60</v>
      </c>
      <c r="AC51" s="205">
        <v>400</v>
      </c>
      <c r="AD51" s="123">
        <v>0.15</v>
      </c>
      <c r="AE51" s="124">
        <f>(T51*Z51)</f>
        <v>21168</v>
      </c>
      <c r="AF51" s="124">
        <f>(AC51*T51)</f>
        <v>12096</v>
      </c>
    </row>
    <row r="52" spans="1:33" s="157" customFormat="1" x14ac:dyDescent="0.3">
      <c r="A52" s="64" t="s">
        <v>185</v>
      </c>
      <c r="B52" s="180">
        <v>3</v>
      </c>
      <c r="C52" s="181" t="s">
        <v>204</v>
      </c>
      <c r="D52" s="183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5"/>
      <c r="T52" s="186">
        <f>'Column | Pedestal'!F46</f>
        <v>43.23</v>
      </c>
      <c r="U52" s="364" t="s">
        <v>193</v>
      </c>
      <c r="V52" s="370">
        <f t="shared" si="24"/>
        <v>770</v>
      </c>
      <c r="W52" s="371">
        <f t="shared" ref="W52:W54" si="27">T52*V52</f>
        <v>33287.1</v>
      </c>
      <c r="X52" s="371">
        <f>SUM(AB52+AC52)*T52</f>
        <v>19885.8</v>
      </c>
      <c r="Y52" s="118">
        <f t="shared" si="25"/>
        <v>70</v>
      </c>
      <c r="Z52" s="188">
        <v>700</v>
      </c>
      <c r="AA52" s="120">
        <v>0.1</v>
      </c>
      <c r="AB52" s="121">
        <f t="shared" si="26"/>
        <v>60</v>
      </c>
      <c r="AC52" s="205">
        <v>400</v>
      </c>
      <c r="AD52" s="123">
        <v>0.15</v>
      </c>
      <c r="AE52" s="124">
        <f t="shared" ref="AE52:AE54" si="28">(T52*Z52)</f>
        <v>30260.999999999996</v>
      </c>
      <c r="AF52" s="124">
        <f t="shared" ref="AF52:AF54" si="29">(AC52*T52)</f>
        <v>17292</v>
      </c>
    </row>
    <row r="53" spans="1:33" s="157" customFormat="1" x14ac:dyDescent="0.3">
      <c r="A53" s="64" t="s">
        <v>185</v>
      </c>
      <c r="B53" s="180">
        <v>6</v>
      </c>
      <c r="C53" s="181" t="s">
        <v>95</v>
      </c>
      <c r="D53" s="183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5"/>
      <c r="T53" s="186">
        <f>SOG!E28</f>
        <v>4.2459999999999996</v>
      </c>
      <c r="U53" s="364" t="s">
        <v>193</v>
      </c>
      <c r="V53" s="370">
        <f t="shared" si="24"/>
        <v>770</v>
      </c>
      <c r="W53" s="371">
        <f t="shared" si="27"/>
        <v>3269.4199999999996</v>
      </c>
      <c r="X53" s="371">
        <f>SUM(AB53+AC53)*T53</f>
        <v>1953.1599999999999</v>
      </c>
      <c r="Y53" s="118">
        <f t="shared" si="25"/>
        <v>70</v>
      </c>
      <c r="Z53" s="188">
        <v>700</v>
      </c>
      <c r="AA53" s="120">
        <v>0.1</v>
      </c>
      <c r="AB53" s="121">
        <f t="shared" si="26"/>
        <v>60</v>
      </c>
      <c r="AC53" s="205">
        <v>400</v>
      </c>
      <c r="AD53" s="123">
        <v>0.15</v>
      </c>
      <c r="AE53" s="124">
        <f t="shared" si="28"/>
        <v>2972.2</v>
      </c>
      <c r="AF53" s="124">
        <f t="shared" si="29"/>
        <v>1698.3999999999999</v>
      </c>
    </row>
    <row r="54" spans="1:33" s="157" customFormat="1" ht="14.4" thickBot="1" x14ac:dyDescent="0.35">
      <c r="A54" s="64" t="s">
        <v>185</v>
      </c>
      <c r="B54" s="180">
        <v>7</v>
      </c>
      <c r="C54" s="181" t="s">
        <v>130</v>
      </c>
      <c r="D54" s="183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5"/>
      <c r="T54" s="357">
        <f>'Steel Items'!R59</f>
        <v>5.1389999999999993</v>
      </c>
      <c r="U54" s="364" t="s">
        <v>193</v>
      </c>
      <c r="V54" s="370">
        <f t="shared" si="24"/>
        <v>770</v>
      </c>
      <c r="W54" s="371">
        <f t="shared" si="27"/>
        <v>3957.0299999999993</v>
      </c>
      <c r="X54" s="371">
        <f>SUM(AB54+AC54)*T54</f>
        <v>2363.9399999999996</v>
      </c>
      <c r="Y54" s="118">
        <f t="shared" si="25"/>
        <v>70</v>
      </c>
      <c r="Z54" s="188">
        <v>700</v>
      </c>
      <c r="AA54" s="120">
        <v>0.1</v>
      </c>
      <c r="AB54" s="121">
        <f t="shared" si="26"/>
        <v>60</v>
      </c>
      <c r="AC54" s="205">
        <v>400</v>
      </c>
      <c r="AD54" s="123">
        <v>0.15</v>
      </c>
      <c r="AE54" s="124">
        <f t="shared" si="28"/>
        <v>3597.2999999999997</v>
      </c>
      <c r="AF54" s="124">
        <f t="shared" si="29"/>
        <v>2055.6</v>
      </c>
    </row>
    <row r="55" spans="1:33" ht="14.4" thickBot="1" x14ac:dyDescent="0.35">
      <c r="A55" s="191"/>
      <c r="B55" s="192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478" t="s">
        <v>211</v>
      </c>
      <c r="T55" s="479"/>
      <c r="U55" s="479"/>
      <c r="V55" s="480"/>
      <c r="W55" s="194">
        <f>SUM(W51:W54)</f>
        <v>63798.349999999991</v>
      </c>
      <c r="X55" s="195">
        <f>SUM(X51:X54)</f>
        <v>38113.300000000003</v>
      </c>
      <c r="Y55" s="460" t="s">
        <v>149</v>
      </c>
      <c r="Z55" s="460"/>
      <c r="AA55" s="461"/>
      <c r="AB55" s="462" t="s">
        <v>158</v>
      </c>
      <c r="AC55" s="460"/>
      <c r="AD55" s="461"/>
      <c r="AE55" s="145">
        <f>SUM(AE51:AE54)</f>
        <v>57998.5</v>
      </c>
      <c r="AF55" s="145">
        <f>SUM(AF51:AF54)</f>
        <v>33142</v>
      </c>
      <c r="AG55" s="145">
        <f>AE55+AF55</f>
        <v>91140.5</v>
      </c>
    </row>
    <row r="56" spans="1:33" ht="14.4" x14ac:dyDescent="0.3">
      <c r="A56" s="146" t="s">
        <v>212</v>
      </c>
      <c r="B56" s="472" t="s">
        <v>213</v>
      </c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474"/>
      <c r="T56" s="179"/>
      <c r="U56" s="148"/>
      <c r="V56" s="149"/>
      <c r="W56" s="150"/>
      <c r="X56" s="150"/>
      <c r="Y56" s="118"/>
      <c r="Z56" s="156"/>
      <c r="AA56" s="120"/>
      <c r="AB56" s="121"/>
      <c r="AC56" s="234"/>
      <c r="AD56" s="123"/>
      <c r="AE56" s="113"/>
      <c r="AF56" s="113"/>
    </row>
    <row r="57" spans="1:33" s="157" customFormat="1" x14ac:dyDescent="0.3">
      <c r="A57" s="65" t="s">
        <v>185</v>
      </c>
      <c r="B57" s="210">
        <v>1</v>
      </c>
      <c r="C57" s="198" t="s">
        <v>365</v>
      </c>
      <c r="D57" s="199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6"/>
      <c r="T57" s="358">
        <f>T39*0.05</f>
        <v>5.5447999999999995</v>
      </c>
      <c r="U57" s="367" t="s">
        <v>195</v>
      </c>
      <c r="V57" s="368">
        <f t="shared" ref="V57:V62" si="30">SUM(Y57+Z57)</f>
        <v>2750</v>
      </c>
      <c r="W57" s="369">
        <f t="shared" ref="W57" si="31">T57*V57</f>
        <v>15248.199999999999</v>
      </c>
      <c r="X57" s="369">
        <f t="shared" ref="X57:X62" si="32">SUM(AB57+AC57)*T57</f>
        <v>3825.9119999999998</v>
      </c>
      <c r="Y57" s="118">
        <f t="shared" ref="Y57:Y62" si="33">SUM(Z57*AA57)</f>
        <v>250</v>
      </c>
      <c r="Z57" s="188">
        <v>2500</v>
      </c>
      <c r="AA57" s="120">
        <v>0.1</v>
      </c>
      <c r="AB57" s="121">
        <f t="shared" ref="AB57:AB62" si="34">SUM(AC57*AD57)</f>
        <v>90</v>
      </c>
      <c r="AC57" s="205">
        <v>600</v>
      </c>
      <c r="AD57" s="123">
        <v>0.15</v>
      </c>
      <c r="AE57" s="124">
        <f>(T57*Z57)</f>
        <v>13861.999999999998</v>
      </c>
      <c r="AF57" s="124">
        <f>(AC57*T57)</f>
        <v>3326.8799999999997</v>
      </c>
    </row>
    <row r="58" spans="1:33" s="157" customFormat="1" x14ac:dyDescent="0.3">
      <c r="A58" s="64" t="s">
        <v>185</v>
      </c>
      <c r="B58" s="180">
        <v>2</v>
      </c>
      <c r="C58" s="198" t="s">
        <v>214</v>
      </c>
      <c r="D58" s="199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1"/>
      <c r="T58" s="357">
        <f>Footing!E27</f>
        <v>11.7936</v>
      </c>
      <c r="U58" s="364" t="s">
        <v>195</v>
      </c>
      <c r="V58" s="370">
        <f t="shared" si="30"/>
        <v>8250</v>
      </c>
      <c r="W58" s="371">
        <f>T58*V58</f>
        <v>97297.2</v>
      </c>
      <c r="X58" s="371">
        <f t="shared" si="32"/>
        <v>44756.712</v>
      </c>
      <c r="Y58" s="118">
        <f t="shared" si="33"/>
        <v>750</v>
      </c>
      <c r="Z58" s="188">
        <v>7500</v>
      </c>
      <c r="AA58" s="120">
        <v>0.1</v>
      </c>
      <c r="AB58" s="121">
        <f t="shared" si="34"/>
        <v>495</v>
      </c>
      <c r="AC58" s="205">
        <v>3300</v>
      </c>
      <c r="AD58" s="123">
        <v>0.15</v>
      </c>
      <c r="AE58" s="124">
        <f t="shared" ref="AE58:AE62" si="35">(T58*Z58)</f>
        <v>88452</v>
      </c>
      <c r="AF58" s="124">
        <f t="shared" ref="AF58:AF62" si="36">(AC58*T58)</f>
        <v>38918.879999999997</v>
      </c>
    </row>
    <row r="59" spans="1:33" s="157" customFormat="1" x14ac:dyDescent="0.3">
      <c r="A59" s="64" t="s">
        <v>185</v>
      </c>
      <c r="B59" s="180">
        <v>4</v>
      </c>
      <c r="C59" s="181" t="s">
        <v>215</v>
      </c>
      <c r="D59" s="183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5"/>
      <c r="T59" s="357">
        <f>'Column | Pedestal'!F46</f>
        <v>43.23</v>
      </c>
      <c r="U59" s="364" t="s">
        <v>195</v>
      </c>
      <c r="V59" s="370">
        <f t="shared" si="30"/>
        <v>8250</v>
      </c>
      <c r="W59" s="371">
        <f t="shared" ref="W59:W62" si="37">T59*V59</f>
        <v>356647.5</v>
      </c>
      <c r="X59" s="371">
        <f t="shared" si="32"/>
        <v>164057.84999999998</v>
      </c>
      <c r="Y59" s="118">
        <f t="shared" si="33"/>
        <v>750</v>
      </c>
      <c r="Z59" s="188">
        <v>7500</v>
      </c>
      <c r="AA59" s="120">
        <v>0.1</v>
      </c>
      <c r="AB59" s="121">
        <f t="shared" si="34"/>
        <v>495</v>
      </c>
      <c r="AC59" s="205">
        <v>3300</v>
      </c>
      <c r="AD59" s="123">
        <v>0.15</v>
      </c>
      <c r="AE59" s="124">
        <f t="shared" si="35"/>
        <v>324225</v>
      </c>
      <c r="AF59" s="124">
        <f t="shared" si="36"/>
        <v>142659</v>
      </c>
    </row>
    <row r="60" spans="1:33" s="157" customFormat="1" x14ac:dyDescent="0.3">
      <c r="A60" s="64" t="s">
        <v>185</v>
      </c>
      <c r="B60" s="180">
        <v>6</v>
      </c>
      <c r="C60" s="181" t="s">
        <v>95</v>
      </c>
      <c r="D60" s="183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211"/>
      <c r="T60" s="357">
        <f>SOG!E28</f>
        <v>4.2459999999999996</v>
      </c>
      <c r="U60" s="364" t="s">
        <v>195</v>
      </c>
      <c r="V60" s="370">
        <f t="shared" si="30"/>
        <v>8250</v>
      </c>
      <c r="W60" s="371">
        <f t="shared" si="37"/>
        <v>35029.499999999993</v>
      </c>
      <c r="X60" s="371">
        <f t="shared" si="32"/>
        <v>16113.569999999998</v>
      </c>
      <c r="Y60" s="118">
        <f t="shared" si="33"/>
        <v>750</v>
      </c>
      <c r="Z60" s="188">
        <v>7500</v>
      </c>
      <c r="AA60" s="120">
        <v>0.1</v>
      </c>
      <c r="AB60" s="121">
        <f t="shared" si="34"/>
        <v>495</v>
      </c>
      <c r="AC60" s="205">
        <v>3300</v>
      </c>
      <c r="AD60" s="123">
        <v>0.15</v>
      </c>
      <c r="AE60" s="124">
        <f t="shared" si="35"/>
        <v>31844.999999999996</v>
      </c>
      <c r="AF60" s="124">
        <f t="shared" si="36"/>
        <v>14011.8</v>
      </c>
    </row>
    <row r="61" spans="1:33" s="157" customFormat="1" x14ac:dyDescent="0.3">
      <c r="A61" s="64" t="s">
        <v>185</v>
      </c>
      <c r="B61" s="180">
        <v>8</v>
      </c>
      <c r="C61" s="181" t="s">
        <v>130</v>
      </c>
      <c r="D61" s="183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5"/>
      <c r="T61" s="357">
        <f>'Steel Items'!R59+'Steel Items'!V54</f>
        <v>6.1834589999999992</v>
      </c>
      <c r="U61" s="364" t="s">
        <v>195</v>
      </c>
      <c r="V61" s="370">
        <f t="shared" si="30"/>
        <v>8250</v>
      </c>
      <c r="W61" s="371">
        <f t="shared" si="37"/>
        <v>51013.536749999992</v>
      </c>
      <c r="X61" s="371">
        <f t="shared" si="32"/>
        <v>23466.226904999996</v>
      </c>
      <c r="Y61" s="118">
        <f t="shared" si="33"/>
        <v>750</v>
      </c>
      <c r="Z61" s="188">
        <v>7500</v>
      </c>
      <c r="AA61" s="120">
        <v>0.1</v>
      </c>
      <c r="AB61" s="121">
        <f t="shared" si="34"/>
        <v>495</v>
      </c>
      <c r="AC61" s="205">
        <v>3300</v>
      </c>
      <c r="AD61" s="123">
        <v>0.15</v>
      </c>
      <c r="AE61" s="124">
        <f t="shared" si="35"/>
        <v>46375.94249999999</v>
      </c>
      <c r="AF61" s="124">
        <f t="shared" si="36"/>
        <v>20405.414699999998</v>
      </c>
    </row>
    <row r="62" spans="1:33" s="157" customFormat="1" ht="14.4" thickBot="1" x14ac:dyDescent="0.35">
      <c r="A62" s="64" t="s">
        <v>185</v>
      </c>
      <c r="B62" s="180">
        <v>9</v>
      </c>
      <c r="C62" s="181" t="s">
        <v>216</v>
      </c>
      <c r="D62" s="183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212"/>
      <c r="T62" s="357">
        <v>1</v>
      </c>
      <c r="U62" s="364" t="s">
        <v>162</v>
      </c>
      <c r="V62" s="370">
        <f t="shared" si="30"/>
        <v>0</v>
      </c>
      <c r="W62" s="371">
        <f t="shared" si="37"/>
        <v>0</v>
      </c>
      <c r="X62" s="371">
        <f t="shared" si="32"/>
        <v>115000</v>
      </c>
      <c r="Y62" s="118">
        <f t="shared" si="33"/>
        <v>0</v>
      </c>
      <c r="Z62" s="188"/>
      <c r="AA62" s="120">
        <v>0.1</v>
      </c>
      <c r="AB62" s="121">
        <f t="shared" si="34"/>
        <v>15000</v>
      </c>
      <c r="AC62" s="205">
        <v>100000</v>
      </c>
      <c r="AD62" s="123">
        <v>0.15</v>
      </c>
      <c r="AE62" s="124">
        <f t="shared" si="35"/>
        <v>0</v>
      </c>
      <c r="AF62" s="124">
        <f t="shared" si="36"/>
        <v>100000</v>
      </c>
    </row>
    <row r="63" spans="1:33" ht="14.4" thickBot="1" x14ac:dyDescent="0.35">
      <c r="A63" s="191"/>
      <c r="B63" s="192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478" t="s">
        <v>217</v>
      </c>
      <c r="T63" s="479"/>
      <c r="U63" s="479"/>
      <c r="V63" s="480"/>
      <c r="W63" s="194">
        <f>SUM(W57:W62)</f>
        <v>555235.93674999999</v>
      </c>
      <c r="X63" s="195">
        <f>SUM(X57:X62)</f>
        <v>367220.27090499998</v>
      </c>
      <c r="Y63" s="460" t="s">
        <v>149</v>
      </c>
      <c r="Z63" s="460"/>
      <c r="AA63" s="461"/>
      <c r="AB63" s="462" t="s">
        <v>158</v>
      </c>
      <c r="AC63" s="460"/>
      <c r="AD63" s="461"/>
      <c r="AE63" s="145">
        <f>SUM(AE57:AE62)</f>
        <v>504759.9425</v>
      </c>
      <c r="AF63" s="145">
        <f>SUM(AF57:AF62)</f>
        <v>319321.97470000002</v>
      </c>
      <c r="AG63" s="145">
        <f>AE63+AF63</f>
        <v>824081.91720000003</v>
      </c>
    </row>
    <row r="64" spans="1:33" ht="14.4" x14ac:dyDescent="0.3">
      <c r="A64" s="146" t="s">
        <v>163</v>
      </c>
      <c r="B64" s="472" t="s">
        <v>218</v>
      </c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4"/>
      <c r="T64" s="179"/>
      <c r="U64" s="148"/>
      <c r="V64" s="149"/>
      <c r="W64" s="150"/>
      <c r="X64" s="150"/>
      <c r="Y64" s="118"/>
      <c r="Z64" s="156"/>
      <c r="AA64" s="120"/>
      <c r="AB64" s="121"/>
      <c r="AC64" s="234"/>
      <c r="AD64" s="123"/>
      <c r="AE64" s="113"/>
      <c r="AF64" s="113"/>
    </row>
    <row r="65" spans="1:33" s="157" customFormat="1" ht="14.4" thickBot="1" x14ac:dyDescent="0.35">
      <c r="A65" s="65" t="s">
        <v>185</v>
      </c>
      <c r="B65" s="197">
        <v>1</v>
      </c>
      <c r="C65" s="198" t="s">
        <v>364</v>
      </c>
      <c r="D65" s="199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13"/>
      <c r="T65" s="358">
        <v>20.9</v>
      </c>
      <c r="U65" s="367" t="s">
        <v>193</v>
      </c>
      <c r="V65" s="372">
        <f t="shared" ref="V65" si="38">SUM(Y65+Z65)</f>
        <v>770</v>
      </c>
      <c r="W65" s="373">
        <f>T65*V65</f>
        <v>16092.999999999998</v>
      </c>
      <c r="X65" s="373">
        <f>SUM(AB65+AC65)*T65</f>
        <v>6008.75</v>
      </c>
      <c r="Y65" s="118">
        <f t="shared" ref="Y65" si="39">SUM(Z65*AA65)</f>
        <v>70</v>
      </c>
      <c r="Z65" s="188">
        <v>700</v>
      </c>
      <c r="AA65" s="120">
        <v>0.1</v>
      </c>
      <c r="AB65" s="121">
        <f t="shared" ref="AB65" si="40">SUM(AC65*AD65)</f>
        <v>37.5</v>
      </c>
      <c r="AC65" s="122">
        <v>250</v>
      </c>
      <c r="AD65" s="123">
        <v>0.15</v>
      </c>
      <c r="AE65" s="124">
        <f>(T65*Z65)</f>
        <v>14629.999999999998</v>
      </c>
      <c r="AF65" s="124">
        <f>(AC65*T65)</f>
        <v>5225</v>
      </c>
    </row>
    <row r="66" spans="1:33" ht="14.4" thickBot="1" x14ac:dyDescent="0.35">
      <c r="A66" s="66"/>
      <c r="B66" s="192"/>
      <c r="C66" s="214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478" t="s">
        <v>219</v>
      </c>
      <c r="T66" s="479"/>
      <c r="U66" s="479"/>
      <c r="V66" s="480"/>
      <c r="W66" s="194">
        <f>SUM(W65:W65)</f>
        <v>16092.999999999998</v>
      </c>
      <c r="X66" s="195">
        <f>SUM(X65:X65)</f>
        <v>6008.75</v>
      </c>
      <c r="Y66" s="460" t="s">
        <v>149</v>
      </c>
      <c r="Z66" s="460"/>
      <c r="AA66" s="461"/>
      <c r="AB66" s="462" t="s">
        <v>158</v>
      </c>
      <c r="AC66" s="460"/>
      <c r="AD66" s="461"/>
      <c r="AE66" s="145">
        <f>SUM(AE65:AE65)</f>
        <v>14629.999999999998</v>
      </c>
      <c r="AF66" s="145">
        <f>SUM(AF65:AF65)</f>
        <v>5225</v>
      </c>
      <c r="AG66" s="145">
        <f>AE66+AF66</f>
        <v>19855</v>
      </c>
    </row>
    <row r="67" spans="1:33" ht="14.4" x14ac:dyDescent="0.3">
      <c r="A67" s="146" t="s">
        <v>220</v>
      </c>
      <c r="B67" s="472" t="s">
        <v>221</v>
      </c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3"/>
      <c r="R67" s="473"/>
      <c r="S67" s="474"/>
      <c r="T67" s="147"/>
      <c r="U67" s="148"/>
      <c r="V67" s="149"/>
      <c r="W67" s="150"/>
      <c r="X67" s="150"/>
      <c r="Y67" s="118"/>
      <c r="Z67" s="156"/>
      <c r="AA67" s="120"/>
      <c r="AB67" s="121"/>
      <c r="AC67" s="234"/>
      <c r="AD67" s="123"/>
      <c r="AE67" s="215"/>
      <c r="AF67" s="215"/>
    </row>
    <row r="68" spans="1:33" s="157" customFormat="1" x14ac:dyDescent="0.3">
      <c r="A68" s="65" t="s">
        <v>185</v>
      </c>
      <c r="B68" s="504" t="s">
        <v>222</v>
      </c>
      <c r="C68" s="216" t="s">
        <v>338</v>
      </c>
      <c r="D68" s="184"/>
      <c r="E68" s="142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8"/>
      <c r="T68" s="360">
        <v>10</v>
      </c>
      <c r="U68" s="374" t="s">
        <v>223</v>
      </c>
      <c r="V68" s="365">
        <f t="shared" ref="V68:V84" si="41">SUM(Y68+Z68)</f>
        <v>0</v>
      </c>
      <c r="W68" s="373">
        <f t="shared" ref="W68:W84" si="42">T68*V68</f>
        <v>0</v>
      </c>
      <c r="X68" s="366">
        <f>(AB68+AC68)</f>
        <v>0</v>
      </c>
      <c r="Y68" s="118">
        <f>SUM(Z68*AA68)</f>
        <v>0</v>
      </c>
      <c r="Z68" s="219"/>
      <c r="AA68" s="120">
        <v>0.1</v>
      </c>
      <c r="AB68" s="121">
        <f t="shared" ref="AB68:AB84" si="43">SUM(AC68*AD68)</f>
        <v>0</v>
      </c>
      <c r="AC68" s="219">
        <f t="shared" ref="AC68:AC70" si="44">W68*0.45</f>
        <v>0</v>
      </c>
      <c r="AD68" s="123">
        <v>0.15</v>
      </c>
      <c r="AE68" s="124">
        <f>Z68*T68</f>
        <v>0</v>
      </c>
      <c r="AF68" s="124">
        <f t="shared" ref="AF68:AF83" si="45">(Z68*T68)*0.45</f>
        <v>0</v>
      </c>
    </row>
    <row r="69" spans="1:33" s="157" customFormat="1" x14ac:dyDescent="0.3">
      <c r="A69" s="65" t="s">
        <v>185</v>
      </c>
      <c r="B69" s="504" t="s">
        <v>224</v>
      </c>
      <c r="C69" s="216" t="s">
        <v>339</v>
      </c>
      <c r="D69" s="184"/>
      <c r="E69" s="142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8"/>
      <c r="T69" s="360">
        <v>11</v>
      </c>
      <c r="U69" s="374" t="s">
        <v>223</v>
      </c>
      <c r="V69" s="365">
        <f t="shared" si="41"/>
        <v>0</v>
      </c>
      <c r="W69" s="373">
        <f t="shared" ref="W69" si="46">T69*V69</f>
        <v>0</v>
      </c>
      <c r="X69" s="366">
        <f t="shared" ref="X69:X84" si="47">(AB69+AC69)</f>
        <v>0</v>
      </c>
      <c r="Y69" s="118">
        <f t="shared" ref="Y69:Y84" si="48">SUM(Z69*AA69)</f>
        <v>0</v>
      </c>
      <c r="Z69" s="219"/>
      <c r="AA69" s="120">
        <v>0.1</v>
      </c>
      <c r="AB69" s="121">
        <f t="shared" ref="AB69" si="49">SUM(AC69*AD69)</f>
        <v>0</v>
      </c>
      <c r="AC69" s="219">
        <f t="shared" si="44"/>
        <v>0</v>
      </c>
      <c r="AD69" s="123">
        <v>0.15</v>
      </c>
      <c r="AE69" s="124">
        <f t="shared" ref="AE69:AE84" si="50">Z69*T69</f>
        <v>0</v>
      </c>
      <c r="AF69" s="124">
        <f t="shared" si="45"/>
        <v>0</v>
      </c>
    </row>
    <row r="70" spans="1:33" s="157" customFormat="1" x14ac:dyDescent="0.3">
      <c r="A70" s="64" t="s">
        <v>185</v>
      </c>
      <c r="B70" s="283" t="s">
        <v>225</v>
      </c>
      <c r="C70" s="216" t="s">
        <v>341</v>
      </c>
      <c r="D70" s="184"/>
      <c r="E70" s="142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1"/>
      <c r="T70" s="360">
        <f>'Steel Items'!G3</f>
        <v>84</v>
      </c>
      <c r="U70" s="374" t="s">
        <v>223</v>
      </c>
      <c r="V70" s="365">
        <f t="shared" si="41"/>
        <v>0</v>
      </c>
      <c r="W70" s="366">
        <f t="shared" si="42"/>
        <v>0</v>
      </c>
      <c r="X70" s="366">
        <f t="shared" si="47"/>
        <v>0</v>
      </c>
      <c r="Y70" s="118">
        <f t="shared" si="48"/>
        <v>0</v>
      </c>
      <c r="Z70" s="219"/>
      <c r="AA70" s="120">
        <v>0.1</v>
      </c>
      <c r="AB70" s="121">
        <f t="shared" si="43"/>
        <v>0</v>
      </c>
      <c r="AC70" s="219">
        <f t="shared" si="44"/>
        <v>0</v>
      </c>
      <c r="AD70" s="123">
        <v>0.15</v>
      </c>
      <c r="AE70" s="124">
        <f t="shared" si="50"/>
        <v>0</v>
      </c>
      <c r="AF70" s="124">
        <f t="shared" si="45"/>
        <v>0</v>
      </c>
    </row>
    <row r="71" spans="1:33" s="157" customFormat="1" x14ac:dyDescent="0.3">
      <c r="A71" s="64" t="s">
        <v>185</v>
      </c>
      <c r="B71" s="504" t="s">
        <v>226</v>
      </c>
      <c r="C71" s="216" t="s">
        <v>398</v>
      </c>
      <c r="D71" s="184"/>
      <c r="E71" s="142"/>
      <c r="F71" s="222"/>
      <c r="G71" s="222"/>
      <c r="H71" s="222"/>
      <c r="I71" s="222"/>
      <c r="J71" s="217"/>
      <c r="K71" s="217"/>
      <c r="L71" s="217"/>
      <c r="M71" s="217"/>
      <c r="N71" s="217"/>
      <c r="O71" s="217"/>
      <c r="P71" s="217"/>
      <c r="Q71" s="217"/>
      <c r="R71" s="217"/>
      <c r="S71" s="223"/>
      <c r="T71" s="360">
        <v>1</v>
      </c>
      <c r="U71" s="374" t="s">
        <v>396</v>
      </c>
      <c r="V71" s="365">
        <f t="shared" si="41"/>
        <v>15529.8</v>
      </c>
      <c r="W71" s="373">
        <f>T71*V71</f>
        <v>15529.8</v>
      </c>
      <c r="X71" s="366">
        <f t="shared" si="47"/>
        <v>8036.6714999999995</v>
      </c>
      <c r="Y71" s="118">
        <f t="shared" si="48"/>
        <v>1411.8000000000002</v>
      </c>
      <c r="Z71" s="219">
        <v>14118</v>
      </c>
      <c r="AA71" s="120">
        <v>0.1</v>
      </c>
      <c r="AB71" s="121">
        <f t="shared" si="43"/>
        <v>1048.2614999999998</v>
      </c>
      <c r="AC71" s="219">
        <f t="shared" ref="AC71:AC76" si="51">W71*0.45</f>
        <v>6988.41</v>
      </c>
      <c r="AD71" s="123">
        <v>0.15</v>
      </c>
      <c r="AE71" s="124">
        <f t="shared" si="50"/>
        <v>14118</v>
      </c>
      <c r="AF71" s="124">
        <f t="shared" si="45"/>
        <v>6353.1</v>
      </c>
    </row>
    <row r="72" spans="1:33" s="157" customFormat="1" x14ac:dyDescent="0.3">
      <c r="A72" s="64" t="s">
        <v>185</v>
      </c>
      <c r="B72" s="504" t="s">
        <v>227</v>
      </c>
      <c r="C72" s="224" t="s">
        <v>340</v>
      </c>
      <c r="D72" s="184"/>
      <c r="E72" s="142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1"/>
      <c r="T72" s="360">
        <f>'Steel Items'!J3</f>
        <v>41</v>
      </c>
      <c r="U72" s="374" t="s">
        <v>43</v>
      </c>
      <c r="V72" s="365">
        <f t="shared" si="41"/>
        <v>885.5</v>
      </c>
      <c r="W72" s="366">
        <f t="shared" si="42"/>
        <v>36305.5</v>
      </c>
      <c r="X72" s="366">
        <f t="shared" si="47"/>
        <v>18788.096250000002</v>
      </c>
      <c r="Y72" s="118">
        <f t="shared" si="48"/>
        <v>80.5</v>
      </c>
      <c r="Z72" s="219">
        <v>805</v>
      </c>
      <c r="AA72" s="120">
        <v>0.1</v>
      </c>
      <c r="AB72" s="121">
        <f t="shared" si="43"/>
        <v>2450.6212500000001</v>
      </c>
      <c r="AC72" s="219">
        <f t="shared" si="51"/>
        <v>16337.475</v>
      </c>
      <c r="AD72" s="123">
        <v>0.15</v>
      </c>
      <c r="AE72" s="124">
        <f t="shared" si="50"/>
        <v>33005</v>
      </c>
      <c r="AF72" s="124">
        <f>(Z72*T72)*0.45</f>
        <v>14852.25</v>
      </c>
    </row>
    <row r="73" spans="1:33" s="157" customFormat="1" x14ac:dyDescent="0.3">
      <c r="A73" s="64" t="s">
        <v>185</v>
      </c>
      <c r="B73" s="283" t="s">
        <v>228</v>
      </c>
      <c r="C73" s="224" t="s">
        <v>229</v>
      </c>
      <c r="D73" s="184"/>
      <c r="E73" s="142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1"/>
      <c r="T73" s="360">
        <f>'Steel Items'!K3</f>
        <v>10</v>
      </c>
      <c r="U73" s="374" t="s">
        <v>43</v>
      </c>
      <c r="V73" s="365">
        <f t="shared" si="41"/>
        <v>162.80000000000001</v>
      </c>
      <c r="W73" s="366">
        <f t="shared" si="42"/>
        <v>1628</v>
      </c>
      <c r="X73" s="366">
        <f t="shared" si="47"/>
        <v>842.49</v>
      </c>
      <c r="Y73" s="118">
        <f t="shared" si="48"/>
        <v>14.8</v>
      </c>
      <c r="Z73" s="219">
        <v>148</v>
      </c>
      <c r="AA73" s="120">
        <v>0.1</v>
      </c>
      <c r="AB73" s="121">
        <f t="shared" si="43"/>
        <v>109.89</v>
      </c>
      <c r="AC73" s="219">
        <f t="shared" si="51"/>
        <v>732.6</v>
      </c>
      <c r="AD73" s="123">
        <v>0.15</v>
      </c>
      <c r="AE73" s="124">
        <f t="shared" si="50"/>
        <v>1480</v>
      </c>
      <c r="AF73" s="124">
        <f t="shared" si="45"/>
        <v>666</v>
      </c>
    </row>
    <row r="74" spans="1:33" s="157" customFormat="1" x14ac:dyDescent="0.3">
      <c r="A74" s="65" t="s">
        <v>185</v>
      </c>
      <c r="B74" s="504" t="s">
        <v>230</v>
      </c>
      <c r="C74" s="224" t="s">
        <v>342</v>
      </c>
      <c r="D74" s="184"/>
      <c r="E74" s="142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8"/>
      <c r="T74" s="360">
        <f>'Steel Items'!L3</f>
        <v>56</v>
      </c>
      <c r="U74" s="374" t="s">
        <v>43</v>
      </c>
      <c r="V74" s="365">
        <f t="shared" si="41"/>
        <v>1503.7</v>
      </c>
      <c r="W74" s="373">
        <f t="shared" si="42"/>
        <v>84207.2</v>
      </c>
      <c r="X74" s="366">
        <f t="shared" si="47"/>
        <v>43577.225999999995</v>
      </c>
      <c r="Y74" s="118">
        <f t="shared" si="48"/>
        <v>136.70000000000002</v>
      </c>
      <c r="Z74" s="219">
        <v>1367</v>
      </c>
      <c r="AA74" s="120">
        <v>0.1</v>
      </c>
      <c r="AB74" s="121">
        <f t="shared" si="43"/>
        <v>5683.9859999999999</v>
      </c>
      <c r="AC74" s="219">
        <f t="shared" si="51"/>
        <v>37893.24</v>
      </c>
      <c r="AD74" s="123">
        <v>0.15</v>
      </c>
      <c r="AE74" s="124">
        <f t="shared" si="50"/>
        <v>76552</v>
      </c>
      <c r="AF74" s="124">
        <f t="shared" si="45"/>
        <v>34448.400000000001</v>
      </c>
    </row>
    <row r="75" spans="1:33" s="157" customFormat="1" x14ac:dyDescent="0.3">
      <c r="A75" s="64" t="s">
        <v>185</v>
      </c>
      <c r="B75" s="283" t="s">
        <v>231</v>
      </c>
      <c r="C75" s="224" t="s">
        <v>345</v>
      </c>
      <c r="D75" s="184"/>
      <c r="E75" s="142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1"/>
      <c r="T75" s="360">
        <f>'Steel Items'!M3</f>
        <v>29</v>
      </c>
      <c r="U75" s="374" t="s">
        <v>43</v>
      </c>
      <c r="V75" s="365">
        <f t="shared" si="41"/>
        <v>1284.8</v>
      </c>
      <c r="W75" s="366">
        <f t="shared" si="42"/>
        <v>37259.199999999997</v>
      </c>
      <c r="X75" s="366">
        <f t="shared" si="47"/>
        <v>19281.635999999999</v>
      </c>
      <c r="Y75" s="118">
        <f t="shared" si="48"/>
        <v>116.80000000000001</v>
      </c>
      <c r="Z75" s="219">
        <v>1168</v>
      </c>
      <c r="AA75" s="120">
        <v>0.1</v>
      </c>
      <c r="AB75" s="121">
        <f t="shared" si="43"/>
        <v>2514.9959999999996</v>
      </c>
      <c r="AC75" s="219">
        <f t="shared" si="51"/>
        <v>16766.64</v>
      </c>
      <c r="AD75" s="123">
        <v>0.15</v>
      </c>
      <c r="AE75" s="124">
        <f t="shared" si="50"/>
        <v>33872</v>
      </c>
      <c r="AF75" s="124">
        <f t="shared" si="45"/>
        <v>15242.4</v>
      </c>
    </row>
    <row r="76" spans="1:33" s="157" customFormat="1" x14ac:dyDescent="0.3">
      <c r="A76" s="64" t="s">
        <v>185</v>
      </c>
      <c r="B76" s="283" t="s">
        <v>358</v>
      </c>
      <c r="C76" s="224" t="s">
        <v>393</v>
      </c>
      <c r="D76" s="184"/>
      <c r="E76" s="142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5" t="s">
        <v>394</v>
      </c>
      <c r="T76" s="360">
        <v>12</v>
      </c>
      <c r="U76" s="374" t="s">
        <v>43</v>
      </c>
      <c r="V76" s="365">
        <f t="shared" si="41"/>
        <v>12244.1</v>
      </c>
      <c r="W76" s="366">
        <f t="shared" ref="W76" si="52">T76*V76</f>
        <v>146929.20000000001</v>
      </c>
      <c r="X76" s="366">
        <f t="shared" si="47"/>
        <v>76035.861000000019</v>
      </c>
      <c r="Y76" s="118">
        <f t="shared" si="48"/>
        <v>1113.1000000000001</v>
      </c>
      <c r="Z76" s="219">
        <v>11131</v>
      </c>
      <c r="AA76" s="120">
        <v>0.1</v>
      </c>
      <c r="AB76" s="121">
        <f t="shared" ref="AB76" si="53">SUM(AC76*AD76)</f>
        <v>9917.7210000000014</v>
      </c>
      <c r="AC76" s="219">
        <f t="shared" si="51"/>
        <v>66118.140000000014</v>
      </c>
      <c r="AD76" s="123">
        <v>0.15</v>
      </c>
      <c r="AE76" s="124">
        <f t="shared" si="50"/>
        <v>133572</v>
      </c>
      <c r="AF76" s="124">
        <f t="shared" si="45"/>
        <v>60107.4</v>
      </c>
    </row>
    <row r="77" spans="1:33" s="157" customFormat="1" x14ac:dyDescent="0.3">
      <c r="A77" s="64" t="s">
        <v>185</v>
      </c>
      <c r="B77" s="283" t="s">
        <v>359</v>
      </c>
      <c r="C77" s="138" t="s">
        <v>233</v>
      </c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1"/>
      <c r="T77" s="179">
        <v>13</v>
      </c>
      <c r="U77" s="364" t="s">
        <v>234</v>
      </c>
      <c r="V77" s="365">
        <f t="shared" si="41"/>
        <v>0</v>
      </c>
      <c r="W77" s="366">
        <f t="shared" si="42"/>
        <v>0</v>
      </c>
      <c r="X77" s="366">
        <f t="shared" si="47"/>
        <v>0</v>
      </c>
      <c r="Y77" s="118">
        <f t="shared" si="48"/>
        <v>0</v>
      </c>
      <c r="Z77" s="188"/>
      <c r="AA77" s="120">
        <v>0.1</v>
      </c>
      <c r="AB77" s="121">
        <f t="shared" si="43"/>
        <v>0</v>
      </c>
      <c r="AC77" s="219">
        <f t="shared" ref="AC77:AC83" si="54">W77*0.45</f>
        <v>0</v>
      </c>
      <c r="AD77" s="123">
        <v>0.15</v>
      </c>
      <c r="AE77" s="124">
        <f t="shared" si="50"/>
        <v>0</v>
      </c>
      <c r="AF77" s="124">
        <f t="shared" si="45"/>
        <v>0</v>
      </c>
    </row>
    <row r="78" spans="1:33" s="157" customFormat="1" x14ac:dyDescent="0.3">
      <c r="A78" s="64" t="s">
        <v>185</v>
      </c>
      <c r="B78" s="283" t="s">
        <v>232</v>
      </c>
      <c r="C78" s="138" t="s">
        <v>357</v>
      </c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1"/>
      <c r="T78" s="179">
        <f>'Steel Items'!N3</f>
        <v>5</v>
      </c>
      <c r="U78" s="364" t="s">
        <v>346</v>
      </c>
      <c r="V78" s="365">
        <f t="shared" si="41"/>
        <v>0</v>
      </c>
      <c r="W78" s="366">
        <f t="shared" ref="W78" si="55">T78*V78</f>
        <v>0</v>
      </c>
      <c r="X78" s="366">
        <f t="shared" si="47"/>
        <v>0</v>
      </c>
      <c r="Y78" s="118">
        <f t="shared" si="48"/>
        <v>0</v>
      </c>
      <c r="Z78" s="188"/>
      <c r="AA78" s="120">
        <v>0.1</v>
      </c>
      <c r="AB78" s="121">
        <f t="shared" ref="AB78" si="56">SUM(AC78*AD78)</f>
        <v>0</v>
      </c>
      <c r="AC78" s="219">
        <f t="shared" si="54"/>
        <v>0</v>
      </c>
      <c r="AD78" s="123">
        <v>0.15</v>
      </c>
      <c r="AE78" s="124">
        <f t="shared" si="50"/>
        <v>0</v>
      </c>
      <c r="AF78" s="124">
        <f t="shared" si="45"/>
        <v>0</v>
      </c>
    </row>
    <row r="79" spans="1:33" s="157" customFormat="1" x14ac:dyDescent="0.3">
      <c r="A79" s="64" t="s">
        <v>185</v>
      </c>
      <c r="B79" s="283" t="s">
        <v>360</v>
      </c>
      <c r="C79" s="138" t="s">
        <v>397</v>
      </c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1"/>
      <c r="T79" s="179">
        <v>121.56</v>
      </c>
      <c r="U79" s="364" t="s">
        <v>234</v>
      </c>
      <c r="V79" s="365">
        <f t="shared" si="41"/>
        <v>341</v>
      </c>
      <c r="W79" s="366">
        <f t="shared" ref="W79" si="57">T79*V79</f>
        <v>41451.96</v>
      </c>
      <c r="X79" s="366">
        <f t="shared" si="47"/>
        <v>21451.389300000003</v>
      </c>
      <c r="Y79" s="118">
        <f t="shared" si="48"/>
        <v>31</v>
      </c>
      <c r="Z79" s="188">
        <v>310</v>
      </c>
      <c r="AA79" s="120">
        <v>0.1</v>
      </c>
      <c r="AB79" s="121">
        <f t="shared" ref="AB79" si="58">SUM(AC79*AD79)</f>
        <v>2798.0073000000002</v>
      </c>
      <c r="AC79" s="219">
        <f t="shared" si="54"/>
        <v>18653.382000000001</v>
      </c>
      <c r="AD79" s="123">
        <v>0.15</v>
      </c>
      <c r="AE79" s="124">
        <f t="shared" si="50"/>
        <v>37683.599999999999</v>
      </c>
      <c r="AF79" s="124">
        <f t="shared" si="45"/>
        <v>16957.62</v>
      </c>
    </row>
    <row r="80" spans="1:33" s="157" customFormat="1" x14ac:dyDescent="0.3">
      <c r="A80" s="64" t="s">
        <v>185</v>
      </c>
      <c r="B80" s="283" t="s">
        <v>360</v>
      </c>
      <c r="C80" s="138" t="s">
        <v>395</v>
      </c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1"/>
      <c r="T80" s="179">
        <v>4</v>
      </c>
      <c r="U80" s="364" t="s">
        <v>396</v>
      </c>
      <c r="V80" s="365">
        <f t="shared" si="41"/>
        <v>34974.5</v>
      </c>
      <c r="W80" s="366">
        <f t="shared" ref="W80" si="59">T80*V80</f>
        <v>139898</v>
      </c>
      <c r="X80" s="366">
        <f t="shared" si="47"/>
        <v>72397.214999999997</v>
      </c>
      <c r="Y80" s="118">
        <f t="shared" si="48"/>
        <v>3179.5</v>
      </c>
      <c r="Z80" s="188">
        <v>31795</v>
      </c>
      <c r="AA80" s="120">
        <v>0.1</v>
      </c>
      <c r="AB80" s="121">
        <f t="shared" ref="AB80" si="60">SUM(AC80*AD80)</f>
        <v>9443.1149999999998</v>
      </c>
      <c r="AC80" s="219">
        <f t="shared" si="54"/>
        <v>62954.1</v>
      </c>
      <c r="AD80" s="123">
        <v>0.15</v>
      </c>
      <c r="AE80" s="124">
        <f t="shared" si="50"/>
        <v>127180</v>
      </c>
      <c r="AF80" s="124">
        <f t="shared" si="45"/>
        <v>57231</v>
      </c>
    </row>
    <row r="81" spans="1:33" s="157" customFormat="1" x14ac:dyDescent="0.3">
      <c r="A81" s="64" t="s">
        <v>185</v>
      </c>
      <c r="B81" s="283" t="s">
        <v>361</v>
      </c>
      <c r="C81" s="138" t="s">
        <v>126</v>
      </c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1"/>
      <c r="T81" s="179">
        <v>1</v>
      </c>
      <c r="U81" s="364" t="s">
        <v>162</v>
      </c>
      <c r="V81" s="365">
        <f t="shared" si="41"/>
        <v>9028.9122000000007</v>
      </c>
      <c r="W81" s="366">
        <f t="shared" ref="W81" si="61">T81*V81</f>
        <v>9028.9122000000007</v>
      </c>
      <c r="X81" s="366">
        <f t="shared" si="47"/>
        <v>3114.9747090000001</v>
      </c>
      <c r="Y81" s="118">
        <f t="shared" si="48"/>
        <v>820.81020000000012</v>
      </c>
      <c r="Z81" s="188">
        <v>8208.1020000000008</v>
      </c>
      <c r="AA81" s="120">
        <v>0.1</v>
      </c>
      <c r="AB81" s="121">
        <f t="shared" ref="AB81" si="62">SUM(AC81*AD81)</f>
        <v>406.30104899999998</v>
      </c>
      <c r="AC81" s="219">
        <f>W81*0.3</f>
        <v>2708.6736599999999</v>
      </c>
      <c r="AD81" s="123">
        <v>0.15</v>
      </c>
      <c r="AE81" s="124">
        <f t="shared" si="50"/>
        <v>8208.1020000000008</v>
      </c>
      <c r="AF81" s="124">
        <f>(Z81*T81)*0.3</f>
        <v>2462.4306000000001</v>
      </c>
    </row>
    <row r="82" spans="1:33" s="157" customFormat="1" x14ac:dyDescent="0.3">
      <c r="A82" s="64" t="s">
        <v>185</v>
      </c>
      <c r="B82" s="283" t="s">
        <v>362</v>
      </c>
      <c r="C82" s="138" t="s">
        <v>127</v>
      </c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1"/>
      <c r="T82" s="179">
        <f>'Steel Items'!R3</f>
        <v>3</v>
      </c>
      <c r="U82" s="364" t="s">
        <v>223</v>
      </c>
      <c r="V82" s="365">
        <f t="shared" si="41"/>
        <v>0</v>
      </c>
      <c r="W82" s="366">
        <f t="shared" ref="W82" si="63">T82*V82</f>
        <v>0</v>
      </c>
      <c r="X82" s="366">
        <f t="shared" si="47"/>
        <v>0</v>
      </c>
      <c r="Y82" s="118">
        <f t="shared" si="48"/>
        <v>0</v>
      </c>
      <c r="Z82" s="188"/>
      <c r="AA82" s="120">
        <v>0.1</v>
      </c>
      <c r="AB82" s="121">
        <f t="shared" ref="AB82" si="64">SUM(AC82*AD82)</f>
        <v>0</v>
      </c>
      <c r="AC82" s="219">
        <f t="shared" si="54"/>
        <v>0</v>
      </c>
      <c r="AD82" s="123">
        <v>0.15</v>
      </c>
      <c r="AE82" s="124">
        <f t="shared" si="50"/>
        <v>0</v>
      </c>
      <c r="AF82" s="124">
        <f t="shared" si="45"/>
        <v>0</v>
      </c>
    </row>
    <row r="83" spans="1:33" s="157" customFormat="1" x14ac:dyDescent="0.3">
      <c r="A83" s="64" t="s">
        <v>185</v>
      </c>
      <c r="B83" s="283" t="s">
        <v>235</v>
      </c>
      <c r="C83" s="138" t="s">
        <v>137</v>
      </c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1"/>
      <c r="T83" s="179">
        <f>'Steel Items'!S3</f>
        <v>9</v>
      </c>
      <c r="U83" s="364" t="s">
        <v>234</v>
      </c>
      <c r="V83" s="365">
        <f t="shared" si="41"/>
        <v>0</v>
      </c>
      <c r="W83" s="366">
        <f t="shared" ref="W83" si="65">T83*V83</f>
        <v>0</v>
      </c>
      <c r="X83" s="366">
        <f t="shared" si="47"/>
        <v>0</v>
      </c>
      <c r="Y83" s="118">
        <f t="shared" si="48"/>
        <v>0</v>
      </c>
      <c r="Z83" s="188"/>
      <c r="AA83" s="120">
        <v>0.1</v>
      </c>
      <c r="AB83" s="121">
        <f t="shared" ref="AB83" si="66">SUM(AC83*AD83)</f>
        <v>0</v>
      </c>
      <c r="AC83" s="219">
        <f t="shared" si="54"/>
        <v>0</v>
      </c>
      <c r="AD83" s="123">
        <v>0.15</v>
      </c>
      <c r="AE83" s="124">
        <f t="shared" si="50"/>
        <v>0</v>
      </c>
      <c r="AF83" s="124">
        <f t="shared" si="45"/>
        <v>0</v>
      </c>
    </row>
    <row r="84" spans="1:33" s="157" customFormat="1" ht="14.4" thickBot="1" x14ac:dyDescent="0.35">
      <c r="A84" s="64" t="s">
        <v>185</v>
      </c>
      <c r="B84" s="283" t="s">
        <v>363</v>
      </c>
      <c r="C84" s="138" t="s">
        <v>236</v>
      </c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1"/>
      <c r="T84" s="179">
        <v>1</v>
      </c>
      <c r="U84" s="364" t="s">
        <v>162</v>
      </c>
      <c r="V84" s="365">
        <f t="shared" si="41"/>
        <v>0</v>
      </c>
      <c r="W84" s="366">
        <f t="shared" si="42"/>
        <v>0</v>
      </c>
      <c r="X84" s="366">
        <f t="shared" si="47"/>
        <v>28750</v>
      </c>
      <c r="Y84" s="118">
        <f t="shared" si="48"/>
        <v>0</v>
      </c>
      <c r="Z84" s="188"/>
      <c r="AA84" s="120">
        <v>0.1</v>
      </c>
      <c r="AB84" s="121">
        <f t="shared" si="43"/>
        <v>3750</v>
      </c>
      <c r="AC84" s="219">
        <v>25000</v>
      </c>
      <c r="AD84" s="123">
        <v>0.15</v>
      </c>
      <c r="AE84" s="124">
        <f t="shared" si="50"/>
        <v>0</v>
      </c>
      <c r="AF84" s="124">
        <f>(AC84*T84)</f>
        <v>25000</v>
      </c>
    </row>
    <row r="85" spans="1:33" s="157" customFormat="1" ht="14.4" thickBot="1" x14ac:dyDescent="0.35">
      <c r="A85" s="226"/>
      <c r="B85" s="227"/>
      <c r="C85" s="475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7"/>
      <c r="S85" s="478" t="s">
        <v>237</v>
      </c>
      <c r="T85" s="479"/>
      <c r="U85" s="479"/>
      <c r="V85" s="480"/>
      <c r="W85" s="194">
        <f>SUM(W68:W84)</f>
        <v>512237.77220000006</v>
      </c>
      <c r="X85" s="144">
        <f>SUM(X68:X84)</f>
        <v>292275.55975900003</v>
      </c>
      <c r="Y85" s="460" t="s">
        <v>149</v>
      </c>
      <c r="Z85" s="460"/>
      <c r="AA85" s="461"/>
      <c r="AB85" s="462" t="s">
        <v>158</v>
      </c>
      <c r="AC85" s="460"/>
      <c r="AD85" s="461"/>
      <c r="AE85" s="145">
        <f>SUM(AE68:AE84)</f>
        <v>465670.70199999999</v>
      </c>
      <c r="AF85" s="145">
        <f>SUM(AF68:AF84)</f>
        <v>233320.60059999998</v>
      </c>
      <c r="AG85" s="145">
        <f>AE85+AF85</f>
        <v>698991.30259999994</v>
      </c>
    </row>
    <row r="86" spans="1:33" ht="14.4" x14ac:dyDescent="0.3">
      <c r="A86" s="146" t="str">
        <f>ROMAN(4,0)</f>
        <v>IV</v>
      </c>
      <c r="B86" s="472" t="s">
        <v>238</v>
      </c>
      <c r="C86" s="473"/>
      <c r="D86" s="473"/>
      <c r="E86" s="473"/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4"/>
      <c r="T86" s="147"/>
      <c r="U86" s="148"/>
      <c r="V86" s="149"/>
      <c r="W86" s="150"/>
      <c r="X86" s="150"/>
      <c r="Y86" s="118"/>
      <c r="Z86" s="156"/>
      <c r="AA86" s="120"/>
      <c r="AB86" s="121"/>
      <c r="AC86" s="234"/>
      <c r="AD86" s="123"/>
      <c r="AE86" s="113"/>
      <c r="AF86" s="113"/>
    </row>
    <row r="87" spans="1:33" s="157" customFormat="1" x14ac:dyDescent="0.3">
      <c r="A87" s="67"/>
      <c r="B87" s="228" t="s">
        <v>190</v>
      </c>
      <c r="C87" s="229" t="s">
        <v>239</v>
      </c>
      <c r="D87" s="230"/>
      <c r="E87" s="230"/>
      <c r="F87" s="230"/>
      <c r="G87" s="230"/>
      <c r="H87" s="230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2"/>
      <c r="T87" s="233"/>
      <c r="U87" s="202"/>
      <c r="V87" s="203"/>
      <c r="W87" s="204"/>
      <c r="X87" s="204"/>
      <c r="Y87" s="118"/>
      <c r="Z87" s="156"/>
      <c r="AA87" s="120"/>
      <c r="AB87" s="121"/>
      <c r="AC87" s="234"/>
      <c r="AD87" s="123"/>
      <c r="AE87" s="156"/>
      <c r="AF87" s="156"/>
    </row>
    <row r="88" spans="1:33" s="157" customFormat="1" x14ac:dyDescent="0.3">
      <c r="A88" s="68"/>
      <c r="B88" s="235"/>
      <c r="C88" s="236" t="s">
        <v>240</v>
      </c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237"/>
      <c r="U88" s="187"/>
      <c r="V88" s="88"/>
      <c r="W88" s="89"/>
      <c r="X88" s="89"/>
      <c r="Y88" s="118"/>
      <c r="Z88" s="156"/>
      <c r="AA88" s="120"/>
      <c r="AB88" s="121"/>
      <c r="AC88" s="234"/>
      <c r="AD88" s="123"/>
      <c r="AE88" s="156"/>
      <c r="AF88" s="156"/>
    </row>
    <row r="89" spans="1:33" s="157" customFormat="1" ht="14.4" thickBot="1" x14ac:dyDescent="0.35">
      <c r="A89" s="64" t="s">
        <v>185</v>
      </c>
      <c r="B89" s="505" t="s">
        <v>222</v>
      </c>
      <c r="C89" s="238" t="s">
        <v>355</v>
      </c>
      <c r="D89" s="184"/>
      <c r="E89" s="239"/>
      <c r="F89" s="239"/>
      <c r="G89" s="239"/>
      <c r="H89" s="239"/>
      <c r="I89" s="2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79">
        <v>4.2</v>
      </c>
      <c r="U89" s="375" t="s">
        <v>193</v>
      </c>
      <c r="V89" s="370">
        <f t="shared" ref="V89" si="67">SUM(Y89+Z89)</f>
        <v>880</v>
      </c>
      <c r="W89" s="371">
        <f t="shared" ref="W89" si="68">T89*V89</f>
        <v>3696</v>
      </c>
      <c r="X89" s="371">
        <f>SUM(AB89+AC89)*T89</f>
        <v>2415</v>
      </c>
      <c r="Y89" s="118">
        <f t="shared" ref="Y89" si="69">SUM(Z89*AA89)</f>
        <v>80</v>
      </c>
      <c r="Z89" s="188">
        <v>800</v>
      </c>
      <c r="AA89" s="120">
        <v>0.1</v>
      </c>
      <c r="AB89" s="121">
        <f t="shared" ref="AB89" si="70">SUM(AC89*AD89)</f>
        <v>75</v>
      </c>
      <c r="AC89" s="122">
        <v>500</v>
      </c>
      <c r="AD89" s="123">
        <v>0.15</v>
      </c>
      <c r="AE89" s="124">
        <f>(T89*Z89)</f>
        <v>3360</v>
      </c>
      <c r="AF89" s="124">
        <f>(AC89*T89)</f>
        <v>2100</v>
      </c>
    </row>
    <row r="90" spans="1:33" s="157" customFormat="1" ht="14.4" thickBot="1" x14ac:dyDescent="0.35">
      <c r="A90" s="136"/>
      <c r="B90" s="155"/>
      <c r="C90" s="413"/>
      <c r="D90" s="414"/>
      <c r="E90" s="414"/>
      <c r="F90" s="414"/>
      <c r="G90" s="414"/>
      <c r="H90" s="414"/>
      <c r="I90" s="414"/>
      <c r="J90" s="414"/>
      <c r="K90" s="414"/>
      <c r="L90" s="414"/>
      <c r="M90" s="414"/>
      <c r="N90" s="414"/>
      <c r="O90" s="414"/>
      <c r="P90" s="414"/>
      <c r="Q90" s="414"/>
      <c r="R90" s="415"/>
      <c r="S90" s="466" t="s">
        <v>241</v>
      </c>
      <c r="T90" s="467"/>
      <c r="U90" s="467"/>
      <c r="V90" s="468"/>
      <c r="W90" s="143">
        <f>SUM(W89:W89)</f>
        <v>3696</v>
      </c>
      <c r="X90" s="144">
        <f>SUM(X89:X89)</f>
        <v>2415</v>
      </c>
      <c r="Y90" s="460" t="s">
        <v>149</v>
      </c>
      <c r="Z90" s="460"/>
      <c r="AA90" s="461"/>
      <c r="AB90" s="462" t="s">
        <v>158</v>
      </c>
      <c r="AC90" s="460"/>
      <c r="AD90" s="461"/>
      <c r="AE90" s="145">
        <f>SUM(AE89:AE89)</f>
        <v>3360</v>
      </c>
      <c r="AF90" s="145">
        <f>SUM(AF89:AF89)</f>
        <v>2100</v>
      </c>
      <c r="AG90" s="145">
        <f>AE90+AF90</f>
        <v>5460</v>
      </c>
    </row>
    <row r="91" spans="1:33" s="157" customFormat="1" x14ac:dyDescent="0.3">
      <c r="A91" s="69"/>
      <c r="B91" s="235"/>
      <c r="C91" s="236" t="s">
        <v>242</v>
      </c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237"/>
      <c r="U91" s="364"/>
      <c r="V91" s="370"/>
      <c r="W91" s="371"/>
      <c r="X91" s="371"/>
      <c r="Y91" s="118"/>
      <c r="Z91" s="156"/>
      <c r="AA91" s="120"/>
      <c r="AB91" s="121"/>
      <c r="AC91" s="234"/>
      <c r="AD91" s="123"/>
      <c r="AE91" s="156"/>
      <c r="AF91" s="156"/>
    </row>
    <row r="92" spans="1:33" s="157" customFormat="1" x14ac:dyDescent="0.3">
      <c r="A92" s="64" t="s">
        <v>185</v>
      </c>
      <c r="B92" s="505" t="s">
        <v>222</v>
      </c>
      <c r="C92" s="238" t="s">
        <v>356</v>
      </c>
      <c r="D92" s="141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79">
        <v>15</v>
      </c>
      <c r="U92" s="375" t="s">
        <v>193</v>
      </c>
      <c r="V92" s="370">
        <f t="shared" ref="V92" si="71">SUM(Y92+Z92)</f>
        <v>880</v>
      </c>
      <c r="W92" s="371">
        <f t="shared" ref="W92" si="72">T92*V92</f>
        <v>13200</v>
      </c>
      <c r="X92" s="371">
        <f>SUM(AB92+AC92)*T92</f>
        <v>8625</v>
      </c>
      <c r="Y92" s="118">
        <f t="shared" ref="Y92" si="73">SUM(Z92*AA92)</f>
        <v>80</v>
      </c>
      <c r="Z92" s="188">
        <v>800</v>
      </c>
      <c r="AA92" s="120">
        <v>0.1</v>
      </c>
      <c r="AB92" s="121">
        <f t="shared" ref="AB92" si="74">SUM(AC92*AD92)</f>
        <v>75</v>
      </c>
      <c r="AC92" s="122">
        <v>500</v>
      </c>
      <c r="AD92" s="123">
        <v>0.15</v>
      </c>
      <c r="AE92" s="124">
        <f>(T92*Z92)</f>
        <v>12000</v>
      </c>
      <c r="AF92" s="124">
        <f>(AC92*T92)</f>
        <v>7500</v>
      </c>
    </row>
    <row r="93" spans="1:33" s="157" customFormat="1" x14ac:dyDescent="0.3">
      <c r="A93" s="68"/>
      <c r="B93" s="135"/>
      <c r="C93" s="236" t="s">
        <v>244</v>
      </c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237"/>
      <c r="U93" s="364"/>
      <c r="V93" s="365"/>
      <c r="W93" s="366"/>
      <c r="X93" s="366"/>
      <c r="Y93" s="242"/>
      <c r="Z93" s="243"/>
      <c r="AA93" s="244"/>
      <c r="AB93" s="245"/>
      <c r="AC93" s="246"/>
      <c r="AD93" s="247"/>
      <c r="AE93" s="243"/>
      <c r="AF93" s="243"/>
    </row>
    <row r="94" spans="1:33" s="157" customFormat="1" x14ac:dyDescent="0.3">
      <c r="A94" s="64" t="s">
        <v>185</v>
      </c>
      <c r="B94" s="283" t="s">
        <v>222</v>
      </c>
      <c r="C94" s="248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79"/>
      <c r="U94" s="364"/>
      <c r="V94" s="365">
        <f t="shared" ref="V94:V95" si="75">SUM(Y94+Z94)</f>
        <v>0</v>
      </c>
      <c r="W94" s="366">
        <f t="shared" ref="W94:W95" si="76">T94*V94</f>
        <v>0</v>
      </c>
      <c r="X94" s="366">
        <f>SUM(AB94+AC94)*T94</f>
        <v>0</v>
      </c>
      <c r="Y94" s="242">
        <f t="shared" ref="Y94:Y95" si="77">SUM(Z94*AA94)</f>
        <v>0</v>
      </c>
      <c r="Z94" s="249"/>
      <c r="AA94" s="244">
        <v>0.1</v>
      </c>
      <c r="AB94" s="245">
        <f t="shared" ref="AB94:AB95" si="78">SUM(AC94*AD94)</f>
        <v>0</v>
      </c>
      <c r="AC94" s="205"/>
      <c r="AD94" s="247">
        <v>0.15</v>
      </c>
      <c r="AE94" s="124">
        <f>(T94*Z94)</f>
        <v>0</v>
      </c>
      <c r="AF94" s="124">
        <f>(AC94*T94)</f>
        <v>0</v>
      </c>
    </row>
    <row r="95" spans="1:33" s="157" customFormat="1" x14ac:dyDescent="0.3">
      <c r="A95" s="64" t="s">
        <v>185</v>
      </c>
      <c r="B95" s="505" t="s">
        <v>224</v>
      </c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79"/>
      <c r="U95" s="364"/>
      <c r="V95" s="365">
        <f t="shared" si="75"/>
        <v>0</v>
      </c>
      <c r="W95" s="366">
        <f t="shared" si="76"/>
        <v>0</v>
      </c>
      <c r="X95" s="366">
        <f>SUM(AB95+AC95)*T95</f>
        <v>0</v>
      </c>
      <c r="Y95" s="242">
        <f t="shared" si="77"/>
        <v>0</v>
      </c>
      <c r="Z95" s="249"/>
      <c r="AA95" s="244">
        <v>0.1</v>
      </c>
      <c r="AB95" s="245">
        <f t="shared" si="78"/>
        <v>0</v>
      </c>
      <c r="AC95" s="205"/>
      <c r="AD95" s="247">
        <v>0.15</v>
      </c>
      <c r="AE95" s="124">
        <f>(T95*Z95)</f>
        <v>0</v>
      </c>
      <c r="AF95" s="124">
        <f>(AC95*T95)</f>
        <v>0</v>
      </c>
    </row>
    <row r="96" spans="1:33" s="157" customFormat="1" x14ac:dyDescent="0.3">
      <c r="A96" s="68"/>
      <c r="B96" s="135"/>
      <c r="C96" s="236" t="s">
        <v>245</v>
      </c>
      <c r="D96" s="231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237"/>
      <c r="U96" s="364"/>
      <c r="V96" s="365"/>
      <c r="W96" s="366"/>
      <c r="X96" s="366"/>
      <c r="Y96" s="242"/>
      <c r="Z96" s="243"/>
      <c r="AA96" s="244"/>
      <c r="AB96" s="245"/>
      <c r="AC96" s="246"/>
      <c r="AD96" s="247"/>
      <c r="AE96" s="243"/>
      <c r="AF96" s="243"/>
    </row>
    <row r="97" spans="1:33" s="157" customFormat="1" x14ac:dyDescent="0.3">
      <c r="A97" s="64" t="s">
        <v>185</v>
      </c>
      <c r="B97" s="135"/>
      <c r="C97" s="248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251"/>
      <c r="T97" s="179"/>
      <c r="U97" s="364"/>
      <c r="V97" s="365">
        <f t="shared" ref="V97:V98" si="79">SUM(Y97+Z97)</f>
        <v>0</v>
      </c>
      <c r="W97" s="366">
        <f t="shared" ref="W97:W98" si="80">T97*V97</f>
        <v>0</v>
      </c>
      <c r="X97" s="366">
        <f>SUM(AB97+AC97)*T97</f>
        <v>0</v>
      </c>
      <c r="Y97" s="242">
        <f t="shared" ref="Y97:Y98" si="81">SUM(Z97*AA97)</f>
        <v>0</v>
      </c>
      <c r="Z97" s="249"/>
      <c r="AA97" s="244">
        <v>0.1</v>
      </c>
      <c r="AB97" s="245">
        <f t="shared" ref="AB97:AB98" si="82">SUM(AC97*AD97)</f>
        <v>0</v>
      </c>
      <c r="AC97" s="205"/>
      <c r="AD97" s="247">
        <v>0.15</v>
      </c>
      <c r="AE97" s="124">
        <f>(T97*Z97)</f>
        <v>0</v>
      </c>
      <c r="AF97" s="124">
        <f>(AC97*T97)</f>
        <v>0</v>
      </c>
    </row>
    <row r="98" spans="1:33" s="157" customFormat="1" ht="14.4" thickBot="1" x14ac:dyDescent="0.35">
      <c r="A98" s="64" t="s">
        <v>185</v>
      </c>
      <c r="B98" s="135"/>
      <c r="C98" s="248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251"/>
      <c r="T98" s="179"/>
      <c r="U98" s="364"/>
      <c r="V98" s="365">
        <f t="shared" si="79"/>
        <v>0</v>
      </c>
      <c r="W98" s="366">
        <f t="shared" si="80"/>
        <v>0</v>
      </c>
      <c r="X98" s="366">
        <f>SUM(AB98+AC98)*T98</f>
        <v>0</v>
      </c>
      <c r="Y98" s="242">
        <f t="shared" si="81"/>
        <v>0</v>
      </c>
      <c r="Z98" s="249"/>
      <c r="AA98" s="244">
        <v>0.1</v>
      </c>
      <c r="AB98" s="245">
        <f t="shared" si="82"/>
        <v>0</v>
      </c>
      <c r="AC98" s="205"/>
      <c r="AD98" s="247">
        <v>0.15</v>
      </c>
      <c r="AE98" s="124">
        <f>(T98*Z98)</f>
        <v>0</v>
      </c>
      <c r="AF98" s="124">
        <f>(AC98*T98)</f>
        <v>0</v>
      </c>
    </row>
    <row r="99" spans="1:33" s="157" customFormat="1" ht="14.4" thickBot="1" x14ac:dyDescent="0.35">
      <c r="A99" s="136"/>
      <c r="B99" s="155"/>
      <c r="C99" s="413"/>
      <c r="D99" s="414"/>
      <c r="E99" s="414"/>
      <c r="F99" s="414"/>
      <c r="G99" s="414"/>
      <c r="H99" s="414"/>
      <c r="I99" s="414"/>
      <c r="J99" s="414"/>
      <c r="K99" s="414"/>
      <c r="L99" s="414"/>
      <c r="M99" s="414"/>
      <c r="N99" s="414"/>
      <c r="O99" s="414"/>
      <c r="P99" s="414"/>
      <c r="Q99" s="414"/>
      <c r="R99" s="415"/>
      <c r="S99" s="466" t="s">
        <v>246</v>
      </c>
      <c r="T99" s="467"/>
      <c r="U99" s="467"/>
      <c r="V99" s="468"/>
      <c r="W99" s="143">
        <f>SUM(W92:W97)</f>
        <v>13200</v>
      </c>
      <c r="X99" s="144">
        <f>SUM(X92:X97)</f>
        <v>8625</v>
      </c>
      <c r="Y99" s="463" t="s">
        <v>149</v>
      </c>
      <c r="Z99" s="463"/>
      <c r="AA99" s="464"/>
      <c r="AB99" s="465" t="s">
        <v>158</v>
      </c>
      <c r="AC99" s="463"/>
      <c r="AD99" s="464"/>
      <c r="AE99" s="252">
        <f>SUM(AE92:AE97)</f>
        <v>12000</v>
      </c>
      <c r="AF99" s="252">
        <f>SUM(AF92:AF97)</f>
        <v>7500</v>
      </c>
      <c r="AG99" s="145">
        <f>AE99+AF99</f>
        <v>19500</v>
      </c>
    </row>
    <row r="100" spans="1:33" s="157" customFormat="1" x14ac:dyDescent="0.3">
      <c r="A100" s="69"/>
      <c r="B100" s="235"/>
      <c r="C100" s="236" t="s">
        <v>247</v>
      </c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237"/>
      <c r="U100" s="364"/>
      <c r="V100" s="370"/>
      <c r="W100" s="371"/>
      <c r="X100" s="371"/>
      <c r="Y100" s="242"/>
      <c r="Z100" s="243"/>
      <c r="AA100" s="244"/>
      <c r="AB100" s="245"/>
      <c r="AC100" s="246"/>
      <c r="AD100" s="247"/>
      <c r="AE100" s="243"/>
      <c r="AF100" s="243"/>
    </row>
    <row r="101" spans="1:33" s="157" customFormat="1" x14ac:dyDescent="0.3">
      <c r="A101" s="68"/>
      <c r="B101" s="135"/>
      <c r="C101" s="236" t="s">
        <v>243</v>
      </c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237"/>
      <c r="U101" s="364"/>
      <c r="V101" s="370"/>
      <c r="W101" s="371"/>
      <c r="X101" s="371"/>
      <c r="Y101" s="242"/>
      <c r="Z101" s="243"/>
      <c r="AA101" s="244"/>
      <c r="AB101" s="245"/>
      <c r="AC101" s="246"/>
      <c r="AD101" s="247"/>
      <c r="AE101" s="243"/>
      <c r="AF101" s="243"/>
    </row>
    <row r="102" spans="1:33" s="157" customFormat="1" x14ac:dyDescent="0.3">
      <c r="A102" s="64" t="s">
        <v>185</v>
      </c>
      <c r="B102" s="283" t="s">
        <v>222</v>
      </c>
      <c r="C102" s="248"/>
      <c r="D102" s="141"/>
      <c r="E102" s="239"/>
      <c r="F102" s="239"/>
      <c r="G102" s="239"/>
      <c r="H102" s="239"/>
      <c r="I102" s="2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79"/>
      <c r="U102" s="375"/>
      <c r="V102" s="370">
        <f t="shared" ref="V102:V103" si="83">SUM(Y102+Z102)</f>
        <v>0</v>
      </c>
      <c r="W102" s="371">
        <f t="shared" ref="W102:W103" si="84">T102*V102</f>
        <v>0</v>
      </c>
      <c r="X102" s="371">
        <f>SUM(AB102+AC102)*T102</f>
        <v>0</v>
      </c>
      <c r="Y102" s="242">
        <f t="shared" ref="Y102:Y103" si="85">SUM(Z102*AA102)</f>
        <v>0</v>
      </c>
      <c r="Z102" s="249"/>
      <c r="AA102" s="244">
        <v>0.1</v>
      </c>
      <c r="AB102" s="245">
        <f t="shared" ref="AB102:AB103" si="86">SUM(AC102*AD102)</f>
        <v>0</v>
      </c>
      <c r="AC102" s="205"/>
      <c r="AD102" s="247">
        <v>0.15</v>
      </c>
      <c r="AE102" s="124">
        <f>(T102*Z102)</f>
        <v>0</v>
      </c>
      <c r="AF102" s="124">
        <f>(AC102*T102)</f>
        <v>0</v>
      </c>
    </row>
    <row r="103" spans="1:33" s="157" customFormat="1" x14ac:dyDescent="0.3">
      <c r="A103" s="64" t="s">
        <v>185</v>
      </c>
      <c r="B103" s="283" t="s">
        <v>224</v>
      </c>
      <c r="C103" s="248"/>
      <c r="D103" s="141"/>
      <c r="E103" s="239"/>
      <c r="F103" s="239"/>
      <c r="G103" s="239"/>
      <c r="H103" s="239"/>
      <c r="I103" s="2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79"/>
      <c r="U103" s="375"/>
      <c r="V103" s="370">
        <f t="shared" si="83"/>
        <v>0</v>
      </c>
      <c r="W103" s="371">
        <f t="shared" si="84"/>
        <v>0</v>
      </c>
      <c r="X103" s="371">
        <f>SUM(AB103+AC103)*T103</f>
        <v>0</v>
      </c>
      <c r="Y103" s="242">
        <f t="shared" si="85"/>
        <v>0</v>
      </c>
      <c r="Z103" s="249"/>
      <c r="AA103" s="244">
        <v>0.1</v>
      </c>
      <c r="AB103" s="245">
        <f t="shared" si="86"/>
        <v>0</v>
      </c>
      <c r="AC103" s="205"/>
      <c r="AD103" s="247">
        <v>0.15</v>
      </c>
      <c r="AE103" s="124">
        <f>(T103*Z103)</f>
        <v>0</v>
      </c>
      <c r="AF103" s="124">
        <f>(AC103*T103)</f>
        <v>0</v>
      </c>
    </row>
    <row r="104" spans="1:33" s="157" customFormat="1" x14ac:dyDescent="0.3">
      <c r="A104" s="68"/>
      <c r="B104" s="283"/>
      <c r="C104" s="236" t="s">
        <v>245</v>
      </c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237"/>
      <c r="U104" s="364"/>
      <c r="V104" s="370"/>
      <c r="W104" s="371"/>
      <c r="X104" s="371"/>
      <c r="Y104" s="242"/>
      <c r="Z104" s="243"/>
      <c r="AA104" s="244"/>
      <c r="AB104" s="245"/>
      <c r="AC104" s="246"/>
      <c r="AD104" s="247"/>
      <c r="AE104" s="243"/>
      <c r="AF104" s="243"/>
    </row>
    <row r="105" spans="1:33" s="157" customFormat="1" ht="14.4" thickBot="1" x14ac:dyDescent="0.35">
      <c r="A105" s="64" t="s">
        <v>185</v>
      </c>
      <c r="B105" s="283" t="s">
        <v>222</v>
      </c>
      <c r="C105" s="248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47"/>
      <c r="U105" s="375"/>
      <c r="V105" s="370">
        <f t="shared" ref="V105" si="87">SUM(Y105+Z105)</f>
        <v>0</v>
      </c>
      <c r="W105" s="371">
        <f t="shared" ref="W105" si="88">T105*V105</f>
        <v>0</v>
      </c>
      <c r="X105" s="371">
        <f>SUM(AB105+AC105)*T105</f>
        <v>0</v>
      </c>
      <c r="Y105" s="242">
        <f t="shared" ref="Y105" si="89">SUM(Z105*AA105)</f>
        <v>0</v>
      </c>
      <c r="Z105" s="249"/>
      <c r="AA105" s="244">
        <v>0.1</v>
      </c>
      <c r="AB105" s="245">
        <f t="shared" ref="AB105" si="90">SUM(AC105*AD105)</f>
        <v>0</v>
      </c>
      <c r="AC105" s="205"/>
      <c r="AD105" s="247">
        <v>0.15</v>
      </c>
      <c r="AE105" s="124">
        <f>(T105*Z105)</f>
        <v>0</v>
      </c>
      <c r="AF105" s="124">
        <f>(AC105*T105)</f>
        <v>0</v>
      </c>
    </row>
    <row r="106" spans="1:33" s="157" customFormat="1" ht="14.4" thickBot="1" x14ac:dyDescent="0.35">
      <c r="A106" s="136"/>
      <c r="B106" s="155"/>
      <c r="C106" s="413"/>
      <c r="D106" s="414"/>
      <c r="E106" s="414"/>
      <c r="F106" s="414"/>
      <c r="G106" s="414"/>
      <c r="H106" s="414"/>
      <c r="I106" s="414"/>
      <c r="J106" s="414"/>
      <c r="K106" s="414"/>
      <c r="L106" s="414"/>
      <c r="M106" s="414"/>
      <c r="N106" s="414"/>
      <c r="O106" s="414"/>
      <c r="P106" s="414"/>
      <c r="Q106" s="414"/>
      <c r="R106" s="415"/>
      <c r="S106" s="466" t="s">
        <v>248</v>
      </c>
      <c r="T106" s="467"/>
      <c r="U106" s="467"/>
      <c r="V106" s="468"/>
      <c r="W106" s="254">
        <f>SUM(W102:W105)</f>
        <v>0</v>
      </c>
      <c r="X106" s="255">
        <f>SUM(X102:X105)</f>
        <v>0</v>
      </c>
      <c r="Y106" s="463" t="s">
        <v>149</v>
      </c>
      <c r="Z106" s="463"/>
      <c r="AA106" s="464"/>
      <c r="AB106" s="465" t="s">
        <v>158</v>
      </c>
      <c r="AC106" s="463"/>
      <c r="AD106" s="464"/>
      <c r="AE106" s="252">
        <f>SUM(AE102:AE105)</f>
        <v>0</v>
      </c>
      <c r="AF106" s="252">
        <f>SUM(AF102:AF105)</f>
        <v>0</v>
      </c>
      <c r="AG106" s="145">
        <f>AE106+AF106</f>
        <v>0</v>
      </c>
    </row>
    <row r="107" spans="1:33" s="157" customFormat="1" x14ac:dyDescent="0.3">
      <c r="A107" s="69"/>
      <c r="B107" s="235"/>
      <c r="C107" s="236" t="s">
        <v>249</v>
      </c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237"/>
      <c r="U107" s="187"/>
      <c r="V107" s="88"/>
      <c r="W107" s="89"/>
      <c r="X107" s="89"/>
      <c r="Y107" s="242"/>
      <c r="Z107" s="243"/>
      <c r="AA107" s="244"/>
      <c r="AB107" s="245"/>
      <c r="AC107" s="246"/>
      <c r="AD107" s="247"/>
      <c r="AE107" s="243"/>
      <c r="AF107" s="243"/>
    </row>
    <row r="108" spans="1:33" s="157" customFormat="1" x14ac:dyDescent="0.3">
      <c r="A108" s="64" t="s">
        <v>185</v>
      </c>
      <c r="B108" s="283" t="s">
        <v>222</v>
      </c>
      <c r="C108" s="248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256"/>
      <c r="U108" s="257"/>
      <c r="V108" s="258">
        <f>SUM(Y108+Z108)</f>
        <v>0</v>
      </c>
      <c r="W108" s="258">
        <f>T108*V108</f>
        <v>0</v>
      </c>
      <c r="X108" s="258">
        <f>SUM(AB108+AC108)</f>
        <v>0</v>
      </c>
      <c r="Y108" s="242">
        <f t="shared" ref="Y108:Y109" si="91">SUM(Z108*AA108)</f>
        <v>0</v>
      </c>
      <c r="Z108" s="249"/>
      <c r="AA108" s="244">
        <v>0.1</v>
      </c>
      <c r="AB108" s="259">
        <f t="shared" ref="AB108:AB109" si="92">SUM(AC108*AD108)</f>
        <v>0</v>
      </c>
      <c r="AC108" s="205"/>
      <c r="AD108" s="247">
        <v>0.15</v>
      </c>
      <c r="AE108" s="124">
        <f>(T108*Z108)</f>
        <v>0</v>
      </c>
      <c r="AF108" s="124">
        <f>(AC108*T108)</f>
        <v>0</v>
      </c>
    </row>
    <row r="109" spans="1:33" s="157" customFormat="1" ht="14.4" thickBot="1" x14ac:dyDescent="0.35">
      <c r="A109" s="64" t="s">
        <v>185</v>
      </c>
      <c r="B109" s="283" t="s">
        <v>224</v>
      </c>
      <c r="C109" s="248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256"/>
      <c r="U109" s="257"/>
      <c r="V109" s="258">
        <f>SUM(Y109+Z109)</f>
        <v>0</v>
      </c>
      <c r="W109" s="258">
        <f>T109*V109</f>
        <v>0</v>
      </c>
      <c r="X109" s="258">
        <f>SUM(AB109+AC109)</f>
        <v>0</v>
      </c>
      <c r="Y109" s="242">
        <f t="shared" si="91"/>
        <v>0</v>
      </c>
      <c r="Z109" s="249"/>
      <c r="AA109" s="244">
        <v>0.1</v>
      </c>
      <c r="AB109" s="259">
        <f t="shared" si="92"/>
        <v>0</v>
      </c>
      <c r="AC109" s="205"/>
      <c r="AD109" s="247">
        <v>0.15</v>
      </c>
      <c r="AE109" s="124">
        <f>(T109*Z109)</f>
        <v>0</v>
      </c>
      <c r="AF109" s="124">
        <f>(AC109*T109)</f>
        <v>0</v>
      </c>
    </row>
    <row r="110" spans="1:33" s="157" customFormat="1" ht="14.4" thickBot="1" x14ac:dyDescent="0.35">
      <c r="A110" s="136"/>
      <c r="B110" s="155"/>
      <c r="C110" s="413"/>
      <c r="D110" s="414"/>
      <c r="E110" s="414"/>
      <c r="F110" s="414"/>
      <c r="G110" s="414"/>
      <c r="H110" s="414"/>
      <c r="I110" s="414"/>
      <c r="J110" s="414"/>
      <c r="K110" s="414"/>
      <c r="L110" s="414"/>
      <c r="M110" s="414"/>
      <c r="N110" s="414"/>
      <c r="O110" s="414"/>
      <c r="P110" s="414"/>
      <c r="Q110" s="414"/>
      <c r="R110" s="415"/>
      <c r="S110" s="466" t="s">
        <v>250</v>
      </c>
      <c r="T110" s="467"/>
      <c r="U110" s="467"/>
      <c r="V110" s="468"/>
      <c r="W110" s="143">
        <f>SUM(W108:W109)</f>
        <v>0</v>
      </c>
      <c r="X110" s="144">
        <f>SUM(X108:X109)</f>
        <v>0</v>
      </c>
      <c r="Y110" s="463" t="s">
        <v>149</v>
      </c>
      <c r="Z110" s="463"/>
      <c r="AA110" s="464"/>
      <c r="AB110" s="465" t="s">
        <v>158</v>
      </c>
      <c r="AC110" s="463"/>
      <c r="AD110" s="464"/>
      <c r="AE110" s="252">
        <f>SUM(AE108:AE109)</f>
        <v>0</v>
      </c>
      <c r="AF110" s="252">
        <f>SUM(AF108:AF109)</f>
        <v>0</v>
      </c>
      <c r="AG110" s="145">
        <f>AE110+AF110</f>
        <v>0</v>
      </c>
    </row>
    <row r="111" spans="1:33" s="157" customFormat="1" x14ac:dyDescent="0.3">
      <c r="A111" s="69"/>
      <c r="B111" s="235"/>
      <c r="C111" s="236" t="s">
        <v>251</v>
      </c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237"/>
      <c r="U111" s="187"/>
      <c r="V111" s="88"/>
      <c r="W111" s="89"/>
      <c r="X111" s="89"/>
      <c r="Y111" s="242"/>
      <c r="Z111" s="243"/>
      <c r="AA111" s="244"/>
      <c r="AB111" s="245"/>
      <c r="AC111" s="246"/>
      <c r="AD111" s="247"/>
      <c r="AE111" s="243"/>
      <c r="AF111" s="243"/>
    </row>
    <row r="112" spans="1:33" s="157" customFormat="1" x14ac:dyDescent="0.3">
      <c r="A112" s="64" t="s">
        <v>185</v>
      </c>
      <c r="B112" s="283" t="s">
        <v>222</v>
      </c>
      <c r="C112" s="248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16"/>
      <c r="U112" s="187"/>
      <c r="V112" s="240">
        <f t="shared" ref="V112:V113" si="93">SUM(Y112+Z112)</f>
        <v>0</v>
      </c>
      <c r="W112" s="241">
        <f t="shared" ref="W112:W113" si="94">T112*V112</f>
        <v>0</v>
      </c>
      <c r="X112" s="241">
        <f>SUM(AB112+AC112)*T112</f>
        <v>0</v>
      </c>
      <c r="Y112" s="242">
        <f t="shared" ref="Y112:Y113" si="95">SUM(Z112*AA112)</f>
        <v>0</v>
      </c>
      <c r="Z112" s="249"/>
      <c r="AA112" s="244">
        <v>0.1</v>
      </c>
      <c r="AB112" s="245">
        <f t="shared" ref="AB112:AB113" si="96">SUM(AC112*AD112)</f>
        <v>0</v>
      </c>
      <c r="AC112" s="253"/>
      <c r="AD112" s="247">
        <v>0.15</v>
      </c>
      <c r="AE112" s="124">
        <f>(T112*Z112)</f>
        <v>0</v>
      </c>
      <c r="AF112" s="124">
        <f>(AC112*T112)</f>
        <v>0</v>
      </c>
    </row>
    <row r="113" spans="1:33" s="157" customFormat="1" ht="14.4" thickBot="1" x14ac:dyDescent="0.35">
      <c r="A113" s="64" t="s">
        <v>185</v>
      </c>
      <c r="B113" s="283" t="s">
        <v>224</v>
      </c>
      <c r="C113" s="248"/>
      <c r="D113" s="260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16"/>
      <c r="U113" s="187"/>
      <c r="V113" s="240">
        <f t="shared" si="93"/>
        <v>0</v>
      </c>
      <c r="W113" s="241">
        <f t="shared" si="94"/>
        <v>0</v>
      </c>
      <c r="X113" s="241">
        <f>SUM(AB113+AC113)*T113</f>
        <v>0</v>
      </c>
      <c r="Y113" s="242">
        <f t="shared" si="95"/>
        <v>0</v>
      </c>
      <c r="Z113" s="249"/>
      <c r="AA113" s="244">
        <v>0.1</v>
      </c>
      <c r="AB113" s="245">
        <f t="shared" si="96"/>
        <v>0</v>
      </c>
      <c r="AC113" s="253"/>
      <c r="AD113" s="247">
        <v>0.15</v>
      </c>
      <c r="AE113" s="124">
        <f>(T113*Z113)</f>
        <v>0</v>
      </c>
      <c r="AF113" s="124">
        <f>(AC113*T113)</f>
        <v>0</v>
      </c>
    </row>
    <row r="114" spans="1:33" s="157" customFormat="1" ht="14.4" thickBot="1" x14ac:dyDescent="0.35">
      <c r="A114" s="136"/>
      <c r="B114" s="155"/>
      <c r="C114" s="413"/>
      <c r="D114" s="414"/>
      <c r="E114" s="414"/>
      <c r="F114" s="414"/>
      <c r="G114" s="414"/>
      <c r="H114" s="414"/>
      <c r="I114" s="414"/>
      <c r="J114" s="414"/>
      <c r="K114" s="414"/>
      <c r="L114" s="414"/>
      <c r="M114" s="414"/>
      <c r="N114" s="414"/>
      <c r="O114" s="414"/>
      <c r="P114" s="414"/>
      <c r="Q114" s="414"/>
      <c r="R114" s="415"/>
      <c r="S114" s="466" t="s">
        <v>252</v>
      </c>
      <c r="T114" s="467"/>
      <c r="U114" s="467"/>
      <c r="V114" s="468"/>
      <c r="W114" s="143">
        <f>SUM(W112:W113)</f>
        <v>0</v>
      </c>
      <c r="X114" s="144">
        <f>SUM(X112:X113)</f>
        <v>0</v>
      </c>
      <c r="Y114" s="463" t="s">
        <v>149</v>
      </c>
      <c r="Z114" s="463"/>
      <c r="AA114" s="464"/>
      <c r="AB114" s="465" t="s">
        <v>158</v>
      </c>
      <c r="AC114" s="463"/>
      <c r="AD114" s="464"/>
      <c r="AE114" s="252">
        <f>SUM(AE112:AE113)</f>
        <v>0</v>
      </c>
      <c r="AF114" s="252">
        <f>SUM(AF112:AF113)</f>
        <v>0</v>
      </c>
      <c r="AG114" s="145">
        <f>AE114+AF114</f>
        <v>0</v>
      </c>
    </row>
    <row r="115" spans="1:33" s="157" customFormat="1" x14ac:dyDescent="0.3">
      <c r="A115" s="69"/>
      <c r="B115" s="261"/>
      <c r="C115" s="236" t="s">
        <v>253</v>
      </c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237"/>
      <c r="U115" s="187"/>
      <c r="V115" s="88"/>
      <c r="W115" s="89"/>
      <c r="X115" s="89"/>
      <c r="Y115" s="242"/>
      <c r="Z115" s="243"/>
      <c r="AA115" s="244"/>
      <c r="AB115" s="245"/>
      <c r="AC115" s="246"/>
      <c r="AD115" s="247"/>
      <c r="AE115" s="243"/>
      <c r="AF115" s="243"/>
    </row>
    <row r="116" spans="1:33" s="157" customFormat="1" ht="14.4" thickBot="1" x14ac:dyDescent="0.35">
      <c r="A116" s="69"/>
      <c r="B116" s="505" t="s">
        <v>222</v>
      </c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16"/>
      <c r="U116" s="117"/>
      <c r="V116" s="88">
        <f t="shared" ref="V116" si="97">SUM(Y116+Z116)</f>
        <v>0</v>
      </c>
      <c r="W116" s="89">
        <f t="shared" ref="W116" si="98">T116*V116</f>
        <v>0</v>
      </c>
      <c r="X116" s="262">
        <f t="shared" ref="X116" si="99">SUM(AB116+AC116)</f>
        <v>0</v>
      </c>
      <c r="Y116" s="242">
        <f t="shared" ref="Y116" si="100">SUM(Z116*AA116)</f>
        <v>0</v>
      </c>
      <c r="Z116" s="249"/>
      <c r="AA116" s="244">
        <v>0.1</v>
      </c>
      <c r="AB116" s="245">
        <f t="shared" ref="AB116" si="101">SUM(AC116*AD116)</f>
        <v>0</v>
      </c>
      <c r="AC116" s="253">
        <f>SUM(W116*50%)</f>
        <v>0</v>
      </c>
      <c r="AD116" s="247">
        <v>0.15</v>
      </c>
      <c r="AE116" s="124">
        <f>(T116*Z116)</f>
        <v>0</v>
      </c>
      <c r="AF116" s="124">
        <f>(AC116*T116)</f>
        <v>0</v>
      </c>
    </row>
    <row r="117" spans="1:33" s="157" customFormat="1" ht="14.4" thickBot="1" x14ac:dyDescent="0.35">
      <c r="A117" s="136"/>
      <c r="B117" s="263"/>
      <c r="C117" s="413"/>
      <c r="D117" s="414"/>
      <c r="E117" s="414"/>
      <c r="F117" s="414"/>
      <c r="G117" s="414"/>
      <c r="H117" s="414"/>
      <c r="I117" s="414"/>
      <c r="J117" s="414"/>
      <c r="K117" s="414"/>
      <c r="L117" s="414"/>
      <c r="M117" s="414"/>
      <c r="N117" s="414"/>
      <c r="O117" s="414"/>
      <c r="P117" s="414"/>
      <c r="Q117" s="414"/>
      <c r="R117" s="415"/>
      <c r="S117" s="466" t="s">
        <v>254</v>
      </c>
      <c r="T117" s="467"/>
      <c r="U117" s="467"/>
      <c r="V117" s="468"/>
      <c r="W117" s="143">
        <f>SUM(W116:W116)</f>
        <v>0</v>
      </c>
      <c r="X117" s="144">
        <f>SUM(X116:X116)</f>
        <v>0</v>
      </c>
      <c r="Y117" s="463" t="s">
        <v>149</v>
      </c>
      <c r="Z117" s="463"/>
      <c r="AA117" s="464"/>
      <c r="AB117" s="465" t="s">
        <v>158</v>
      </c>
      <c r="AC117" s="463"/>
      <c r="AD117" s="464"/>
      <c r="AE117" s="252">
        <f>SUM(AE116:AE116)</f>
        <v>0</v>
      </c>
      <c r="AF117" s="252">
        <f>SUM(AF116:AF116)</f>
        <v>0</v>
      </c>
      <c r="AG117" s="145">
        <f>AE117+AF117</f>
        <v>0</v>
      </c>
    </row>
    <row r="118" spans="1:33" ht="14.4" x14ac:dyDescent="0.3">
      <c r="A118" s="146" t="s">
        <v>255</v>
      </c>
      <c r="B118" s="472" t="s">
        <v>256</v>
      </c>
      <c r="C118" s="473"/>
      <c r="D118" s="473"/>
      <c r="E118" s="473"/>
      <c r="F118" s="473"/>
      <c r="G118" s="473"/>
      <c r="H118" s="473"/>
      <c r="I118" s="473"/>
      <c r="J118" s="473"/>
      <c r="K118" s="473"/>
      <c r="L118" s="473"/>
      <c r="M118" s="473"/>
      <c r="N118" s="473"/>
      <c r="O118" s="473"/>
      <c r="P118" s="473"/>
      <c r="Q118" s="473"/>
      <c r="R118" s="473"/>
      <c r="S118" s="474"/>
      <c r="T118" s="147"/>
      <c r="U118" s="148"/>
      <c r="V118" s="149"/>
      <c r="W118" s="150"/>
      <c r="X118" s="150"/>
      <c r="Y118" s="242"/>
      <c r="Z118" s="243"/>
      <c r="AA118" s="244"/>
      <c r="AB118" s="242"/>
      <c r="AC118" s="243"/>
      <c r="AD118" s="247"/>
      <c r="AE118" s="264"/>
      <c r="AF118" s="264"/>
    </row>
    <row r="119" spans="1:33" s="157" customFormat="1" x14ac:dyDescent="0.3">
      <c r="A119" s="270"/>
      <c r="B119" s="283" t="s">
        <v>222</v>
      </c>
      <c r="C119" s="277" t="s">
        <v>257</v>
      </c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73"/>
      <c r="T119" s="278"/>
      <c r="U119" s="148"/>
      <c r="V119" s="88"/>
      <c r="W119" s="89"/>
      <c r="X119" s="89"/>
      <c r="Y119" s="269"/>
      <c r="Z119" s="269"/>
      <c r="AA119" s="269"/>
      <c r="AB119" s="269"/>
      <c r="AC119" s="269"/>
      <c r="AD119" s="269"/>
      <c r="AE119" s="243"/>
      <c r="AF119" s="243"/>
    </row>
    <row r="120" spans="1:33" s="157" customFormat="1" x14ac:dyDescent="0.3">
      <c r="A120" s="64" t="s">
        <v>185</v>
      </c>
      <c r="B120" s="271"/>
      <c r="C120" s="138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73"/>
      <c r="T120" s="278"/>
      <c r="U120" s="148"/>
      <c r="V120" s="88">
        <f t="shared" ref="V120" si="102">SUM(Y120+Z120)</f>
        <v>0</v>
      </c>
      <c r="W120" s="89">
        <f t="shared" ref="W120" si="103">T120*V120</f>
        <v>0</v>
      </c>
      <c r="X120" s="89">
        <f>SUM(AB120+AC120)*T120</f>
        <v>0</v>
      </c>
      <c r="Y120" s="242">
        <f t="shared" ref="Y120" si="104">SUM(Z120*AA120)</f>
        <v>0</v>
      </c>
      <c r="Z120" s="249"/>
      <c r="AA120" s="244">
        <v>0.1</v>
      </c>
      <c r="AB120" s="245">
        <f t="shared" ref="AB120" si="105">SUM(AC120*AD120)</f>
        <v>0</v>
      </c>
      <c r="AC120" s="253">
        <f>SUM(W120*40%)</f>
        <v>0</v>
      </c>
      <c r="AD120" s="247">
        <v>0.15</v>
      </c>
      <c r="AE120" s="124">
        <f>(T120*Z120)</f>
        <v>0</v>
      </c>
      <c r="AF120" s="124">
        <f>(AC120*T120)</f>
        <v>0</v>
      </c>
    </row>
    <row r="121" spans="1:33" s="157" customFormat="1" x14ac:dyDescent="0.3">
      <c r="A121" s="270"/>
      <c r="B121" s="283" t="s">
        <v>224</v>
      </c>
      <c r="C121" s="277" t="s">
        <v>258</v>
      </c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73"/>
      <c r="T121" s="278"/>
      <c r="U121" s="148"/>
      <c r="V121" s="274"/>
      <c r="W121" s="275"/>
      <c r="X121" s="276"/>
      <c r="Y121" s="269"/>
      <c r="Z121" s="269"/>
      <c r="AA121" s="269"/>
      <c r="AB121" s="269"/>
      <c r="AC121" s="269"/>
      <c r="AD121" s="269"/>
      <c r="AE121" s="243"/>
      <c r="AF121" s="243"/>
    </row>
    <row r="122" spans="1:33" s="157" customFormat="1" x14ac:dyDescent="0.3">
      <c r="A122" s="270"/>
      <c r="B122" s="271"/>
      <c r="C122" s="272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73"/>
      <c r="T122" s="278"/>
      <c r="U122" s="148"/>
      <c r="V122" s="274"/>
      <c r="W122" s="275"/>
      <c r="X122" s="276"/>
      <c r="Y122" s="269"/>
      <c r="Z122" s="269"/>
      <c r="AA122" s="269"/>
      <c r="AB122" s="269"/>
      <c r="AC122" s="269"/>
      <c r="AD122" s="269"/>
      <c r="AE122" s="243"/>
      <c r="AF122" s="243"/>
    </row>
    <row r="123" spans="1:33" s="157" customFormat="1" x14ac:dyDescent="0.3">
      <c r="A123" s="270"/>
      <c r="B123" s="283" t="s">
        <v>225</v>
      </c>
      <c r="C123" s="277" t="s">
        <v>259</v>
      </c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73"/>
      <c r="T123" s="278"/>
      <c r="U123" s="148"/>
      <c r="V123" s="274"/>
      <c r="W123" s="275"/>
      <c r="X123" s="276"/>
      <c r="Y123" s="269"/>
      <c r="Z123" s="269"/>
      <c r="AA123" s="244"/>
      <c r="AB123" s="269"/>
      <c r="AC123" s="269"/>
      <c r="AD123" s="269"/>
      <c r="AE123" s="243"/>
      <c r="AF123" s="243"/>
    </row>
    <row r="124" spans="1:33" s="157" customFormat="1" x14ac:dyDescent="0.3">
      <c r="A124" s="64" t="s">
        <v>185</v>
      </c>
      <c r="B124" s="271"/>
      <c r="C124" s="216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79"/>
      <c r="T124" s="148"/>
      <c r="U124" s="148"/>
      <c r="V124" s="88">
        <f t="shared" ref="V124:V125" si="106">SUM(Y124+Z124)</f>
        <v>0</v>
      </c>
      <c r="W124" s="89">
        <f>T124*V124</f>
        <v>0</v>
      </c>
      <c r="X124" s="89">
        <f>SUM(AB124+AC124)</f>
        <v>0</v>
      </c>
      <c r="Y124" s="242">
        <f t="shared" ref="Y124:Y125" si="107">SUM(Z124*AA124)</f>
        <v>0</v>
      </c>
      <c r="Z124" s="249"/>
      <c r="AA124" s="244">
        <v>0.1</v>
      </c>
      <c r="AB124" s="245">
        <f t="shared" ref="AB124:AB125" si="108">SUM(AC124*AD124)</f>
        <v>0</v>
      </c>
      <c r="AC124" s="253">
        <f>SUM(W124*40%)</f>
        <v>0</v>
      </c>
      <c r="AD124" s="247">
        <v>0.15</v>
      </c>
      <c r="AE124" s="124">
        <f>(T124*Z124)</f>
        <v>0</v>
      </c>
      <c r="AF124" s="124">
        <f>(AC124*T124)</f>
        <v>0</v>
      </c>
    </row>
    <row r="125" spans="1:33" s="157" customFormat="1" x14ac:dyDescent="0.3">
      <c r="A125" s="64" t="s">
        <v>185</v>
      </c>
      <c r="B125" s="271"/>
      <c r="C125" s="216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79"/>
      <c r="T125" s="148"/>
      <c r="U125" s="148"/>
      <c r="V125" s="88">
        <f t="shared" si="106"/>
        <v>0</v>
      </c>
      <c r="W125" s="89">
        <f>T125*V125</f>
        <v>0</v>
      </c>
      <c r="X125" s="89">
        <f>SUM(AB125+AC125)</f>
        <v>0</v>
      </c>
      <c r="Y125" s="242">
        <f t="shared" si="107"/>
        <v>0</v>
      </c>
      <c r="Z125" s="249"/>
      <c r="AA125" s="244">
        <v>0.1</v>
      </c>
      <c r="AB125" s="245">
        <f t="shared" si="108"/>
        <v>0</v>
      </c>
      <c r="AC125" s="253">
        <f>SUM(W125*40%)</f>
        <v>0</v>
      </c>
      <c r="AD125" s="247">
        <v>0.15</v>
      </c>
      <c r="AE125" s="124">
        <f>(T125*Z125)</f>
        <v>0</v>
      </c>
      <c r="AF125" s="124">
        <f>(AC125*T125)</f>
        <v>0</v>
      </c>
    </row>
    <row r="126" spans="1:33" s="157" customFormat="1" x14ac:dyDescent="0.3">
      <c r="A126" s="280"/>
      <c r="B126" s="283" t="s">
        <v>226</v>
      </c>
      <c r="C126" s="277" t="s">
        <v>260</v>
      </c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79"/>
      <c r="T126" s="278"/>
      <c r="U126" s="148"/>
      <c r="V126" s="274"/>
      <c r="W126" s="275"/>
      <c r="X126" s="276"/>
      <c r="Y126" s="269"/>
      <c r="Z126" s="269"/>
      <c r="AA126" s="269"/>
      <c r="AB126" s="269"/>
      <c r="AC126" s="269"/>
      <c r="AD126" s="247">
        <v>0.15</v>
      </c>
      <c r="AE126" s="243"/>
      <c r="AF126" s="243"/>
    </row>
    <row r="127" spans="1:33" s="157" customFormat="1" x14ac:dyDescent="0.3">
      <c r="A127" s="64" t="s">
        <v>185</v>
      </c>
      <c r="B127" s="271"/>
      <c r="C127" s="138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79"/>
      <c r="T127" s="278"/>
      <c r="U127" s="148"/>
      <c r="V127" s="88">
        <f t="shared" ref="V127:V128" si="109">SUM(Y127+Z127)</f>
        <v>0</v>
      </c>
      <c r="W127" s="89">
        <f>T127*V127</f>
        <v>0</v>
      </c>
      <c r="X127" s="89">
        <f t="shared" ref="X127:X128" si="110">SUM(AB127+AC127)</f>
        <v>0</v>
      </c>
      <c r="Y127" s="242">
        <f t="shared" ref="Y127:Y128" si="111">SUM(Z127*AA127)</f>
        <v>0</v>
      </c>
      <c r="Z127" s="249"/>
      <c r="AA127" s="244">
        <v>0.1</v>
      </c>
      <c r="AB127" s="245">
        <f t="shared" ref="AB127:AB128" si="112">SUM(AC127*AD127)</f>
        <v>0</v>
      </c>
      <c r="AC127" s="253">
        <f>SUM(W127*50%)</f>
        <v>0</v>
      </c>
      <c r="AD127" s="247">
        <v>0.15</v>
      </c>
      <c r="AE127" s="124">
        <f>(T127*Z127)</f>
        <v>0</v>
      </c>
      <c r="AF127" s="124">
        <f>(AC127*T127)</f>
        <v>0</v>
      </c>
    </row>
    <row r="128" spans="1:33" s="157" customFormat="1" x14ac:dyDescent="0.3">
      <c r="A128" s="64" t="s">
        <v>185</v>
      </c>
      <c r="B128" s="271"/>
      <c r="C128" s="138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79"/>
      <c r="T128" s="278"/>
      <c r="U128" s="148"/>
      <c r="V128" s="88">
        <f t="shared" si="109"/>
        <v>0</v>
      </c>
      <c r="W128" s="89">
        <f>T128*V128</f>
        <v>0</v>
      </c>
      <c r="X128" s="89">
        <f t="shared" si="110"/>
        <v>0</v>
      </c>
      <c r="Y128" s="242">
        <f t="shared" si="111"/>
        <v>0</v>
      </c>
      <c r="Z128" s="249"/>
      <c r="AA128" s="244">
        <v>0.1</v>
      </c>
      <c r="AB128" s="245">
        <f t="shared" si="112"/>
        <v>0</v>
      </c>
      <c r="AC128" s="253">
        <f>SUM(W128*50%)</f>
        <v>0</v>
      </c>
      <c r="AD128" s="247">
        <v>0.15</v>
      </c>
      <c r="AE128" s="124">
        <f>(T128*Z128)</f>
        <v>0</v>
      </c>
      <c r="AF128" s="124">
        <f>(AC128*T128)</f>
        <v>0</v>
      </c>
    </row>
    <row r="129" spans="1:33" s="157" customFormat="1" x14ac:dyDescent="0.3">
      <c r="A129" s="281"/>
      <c r="B129" s="283" t="s">
        <v>227</v>
      </c>
      <c r="C129" s="277" t="s">
        <v>261</v>
      </c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79"/>
      <c r="T129" s="278"/>
      <c r="U129" s="148"/>
      <c r="V129" s="274"/>
      <c r="W129" s="275"/>
      <c r="X129" s="276"/>
      <c r="Y129" s="269"/>
      <c r="Z129" s="269"/>
      <c r="AA129" s="269"/>
      <c r="AB129" s="269"/>
      <c r="AC129" s="269"/>
      <c r="AD129" s="269"/>
      <c r="AE129" s="243"/>
      <c r="AF129" s="243"/>
    </row>
    <row r="130" spans="1:33" s="157" customFormat="1" x14ac:dyDescent="0.3">
      <c r="A130" s="64" t="s">
        <v>185</v>
      </c>
      <c r="B130" s="283"/>
      <c r="C130" s="216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79"/>
      <c r="T130" s="278"/>
      <c r="U130" s="148"/>
      <c r="V130" s="88">
        <f t="shared" ref="V130:V135" si="113">SUM(Y130+Z130)</f>
        <v>0</v>
      </c>
      <c r="W130" s="89">
        <f t="shared" ref="W130:W135" si="114">T130*V130</f>
        <v>0</v>
      </c>
      <c r="X130" s="89">
        <f>SUM(AB130+AC130)</f>
        <v>0</v>
      </c>
      <c r="Y130" s="242">
        <f t="shared" ref="Y130:Y135" si="115">SUM(Z130*AA130)</f>
        <v>0</v>
      </c>
      <c r="Z130" s="249"/>
      <c r="AA130" s="244">
        <v>0.1</v>
      </c>
      <c r="AB130" s="245">
        <f t="shared" ref="AB130:AB135" si="116">SUM(AC130*AD130)</f>
        <v>0</v>
      </c>
      <c r="AC130" s="253">
        <f>SUM(W130*40%)</f>
        <v>0</v>
      </c>
      <c r="AD130" s="247">
        <v>0.15</v>
      </c>
      <c r="AE130" s="124">
        <f>(T130*Z130)</f>
        <v>0</v>
      </c>
      <c r="AF130" s="124">
        <f>(AC130*T130)</f>
        <v>0</v>
      </c>
    </row>
    <row r="131" spans="1:33" s="157" customFormat="1" x14ac:dyDescent="0.3">
      <c r="A131" s="64" t="s">
        <v>185</v>
      </c>
      <c r="B131" s="271"/>
      <c r="C131" s="216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79"/>
      <c r="T131" s="278"/>
      <c r="U131" s="148"/>
      <c r="V131" s="88">
        <f t="shared" si="113"/>
        <v>0</v>
      </c>
      <c r="W131" s="89">
        <f t="shared" si="114"/>
        <v>0</v>
      </c>
      <c r="X131" s="89">
        <f>SUM(AB131+AC131)</f>
        <v>0</v>
      </c>
      <c r="Y131" s="242">
        <f t="shared" si="115"/>
        <v>0</v>
      </c>
      <c r="Z131" s="249"/>
      <c r="AA131" s="244">
        <v>0.1</v>
      </c>
      <c r="AB131" s="245">
        <f t="shared" si="116"/>
        <v>0</v>
      </c>
      <c r="AC131" s="253">
        <f>SUM(W131*40%)</f>
        <v>0</v>
      </c>
      <c r="AD131" s="247">
        <v>0.15</v>
      </c>
      <c r="AE131" s="124">
        <f>(T131*Z131)</f>
        <v>0</v>
      </c>
      <c r="AF131" s="124">
        <f>(AC131*T131)</f>
        <v>0</v>
      </c>
    </row>
    <row r="132" spans="1:33" s="157" customFormat="1" x14ac:dyDescent="0.3">
      <c r="A132" s="281"/>
      <c r="B132" s="283" t="s">
        <v>228</v>
      </c>
      <c r="C132" s="277" t="s">
        <v>262</v>
      </c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79"/>
      <c r="T132" s="278"/>
      <c r="U132" s="148"/>
      <c r="V132" s="88"/>
      <c r="W132" s="89"/>
      <c r="X132" s="89"/>
      <c r="Y132" s="269"/>
      <c r="Z132" s="269"/>
      <c r="AA132" s="269"/>
      <c r="AB132" s="269"/>
      <c r="AC132" s="269"/>
      <c r="AD132" s="269"/>
      <c r="AE132" s="243"/>
      <c r="AF132" s="243"/>
    </row>
    <row r="133" spans="1:33" s="157" customFormat="1" x14ac:dyDescent="0.3">
      <c r="A133" s="64" t="s">
        <v>185</v>
      </c>
      <c r="B133" s="271"/>
      <c r="C133" s="138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79"/>
      <c r="T133" s="278"/>
      <c r="U133" s="148"/>
      <c r="V133" s="88">
        <f t="shared" si="113"/>
        <v>0</v>
      </c>
      <c r="W133" s="89">
        <f t="shared" si="114"/>
        <v>0</v>
      </c>
      <c r="X133" s="89">
        <f>SUM(AB133+AC133)*T133</f>
        <v>0</v>
      </c>
      <c r="Y133" s="242">
        <f t="shared" si="115"/>
        <v>0</v>
      </c>
      <c r="Z133" s="249"/>
      <c r="AA133" s="244">
        <v>0.1</v>
      </c>
      <c r="AB133" s="245">
        <f t="shared" si="116"/>
        <v>0</v>
      </c>
      <c r="AC133" s="253">
        <f>SUM(W133*50%)</f>
        <v>0</v>
      </c>
      <c r="AD133" s="247">
        <v>0.15</v>
      </c>
      <c r="AE133" s="124">
        <f>(T133*Z133)</f>
        <v>0</v>
      </c>
      <c r="AF133" s="124">
        <f>(AC133*T133)</f>
        <v>0</v>
      </c>
    </row>
    <row r="134" spans="1:33" s="157" customFormat="1" x14ac:dyDescent="0.3">
      <c r="A134" s="64" t="s">
        <v>185</v>
      </c>
      <c r="B134" s="271"/>
      <c r="C134" s="138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79"/>
      <c r="T134" s="278"/>
      <c r="U134" s="148"/>
      <c r="V134" s="88">
        <f t="shared" si="113"/>
        <v>0</v>
      </c>
      <c r="W134" s="89">
        <f t="shared" si="114"/>
        <v>0</v>
      </c>
      <c r="X134" s="89">
        <f>SUM(AB134+AC134)</f>
        <v>0</v>
      </c>
      <c r="Y134" s="242">
        <f t="shared" si="115"/>
        <v>0</v>
      </c>
      <c r="Z134" s="249"/>
      <c r="AA134" s="244">
        <v>0.1</v>
      </c>
      <c r="AB134" s="245">
        <f t="shared" si="116"/>
        <v>0</v>
      </c>
      <c r="AC134" s="253">
        <f>SUM(W134*50%)</f>
        <v>0</v>
      </c>
      <c r="AD134" s="247">
        <v>0.15</v>
      </c>
      <c r="AE134" s="124">
        <f>(T134*Z134)</f>
        <v>0</v>
      </c>
      <c r="AF134" s="124">
        <f>(AC134*T134)</f>
        <v>0</v>
      </c>
    </row>
    <row r="135" spans="1:33" s="157" customFormat="1" ht="14.4" thickBot="1" x14ac:dyDescent="0.35">
      <c r="A135" s="281"/>
      <c r="B135" s="283" t="s">
        <v>230</v>
      </c>
      <c r="C135" s="277" t="s">
        <v>236</v>
      </c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79"/>
      <c r="T135" s="278">
        <v>1</v>
      </c>
      <c r="U135" s="148" t="s">
        <v>162</v>
      </c>
      <c r="V135" s="88">
        <f t="shared" si="113"/>
        <v>0</v>
      </c>
      <c r="W135" s="89">
        <f t="shared" si="114"/>
        <v>0</v>
      </c>
      <c r="X135" s="89">
        <f>SUM(AB135+AC135)*T135</f>
        <v>0</v>
      </c>
      <c r="Y135" s="242">
        <f t="shared" si="115"/>
        <v>0</v>
      </c>
      <c r="Z135" s="249"/>
      <c r="AA135" s="244">
        <v>0.1</v>
      </c>
      <c r="AB135" s="245">
        <f t="shared" si="116"/>
        <v>0</v>
      </c>
      <c r="AC135" s="205"/>
      <c r="AD135" s="247">
        <v>0.15</v>
      </c>
      <c r="AE135" s="250">
        <f>SUM(T135*Z135)</f>
        <v>0</v>
      </c>
      <c r="AF135" s="250">
        <f>SUM(AC135*T135)</f>
        <v>0</v>
      </c>
    </row>
    <row r="136" spans="1:33" s="157" customFormat="1" ht="14.4" thickBot="1" x14ac:dyDescent="0.35">
      <c r="A136" s="136"/>
      <c r="B136" s="155"/>
      <c r="C136" s="413"/>
      <c r="D136" s="414"/>
      <c r="E136" s="414"/>
      <c r="F136" s="414"/>
      <c r="G136" s="414"/>
      <c r="H136" s="414"/>
      <c r="I136" s="414"/>
      <c r="J136" s="414"/>
      <c r="K136" s="414"/>
      <c r="L136" s="414"/>
      <c r="M136" s="414"/>
      <c r="N136" s="414"/>
      <c r="O136" s="414"/>
      <c r="P136" s="414"/>
      <c r="Q136" s="414"/>
      <c r="R136" s="415"/>
      <c r="S136" s="457" t="s">
        <v>263</v>
      </c>
      <c r="T136" s="458"/>
      <c r="U136" s="458"/>
      <c r="V136" s="459"/>
      <c r="W136" s="143">
        <f>SUM(W119:W135)</f>
        <v>0</v>
      </c>
      <c r="X136" s="144">
        <f>SUM(X120:X135)</f>
        <v>0</v>
      </c>
      <c r="Y136" s="463" t="s">
        <v>149</v>
      </c>
      <c r="Z136" s="463"/>
      <c r="AA136" s="464"/>
      <c r="AB136" s="465" t="s">
        <v>158</v>
      </c>
      <c r="AC136" s="463"/>
      <c r="AD136" s="464"/>
      <c r="AE136" s="252">
        <f>SUM(AE120:AE135)</f>
        <v>0</v>
      </c>
      <c r="AF136" s="252">
        <f>SUM(AF120:AF135)</f>
        <v>0</v>
      </c>
      <c r="AG136" s="145">
        <f>AE136+AF136</f>
        <v>0</v>
      </c>
    </row>
    <row r="137" spans="1:33" ht="14.4" x14ac:dyDescent="0.3">
      <c r="A137" s="146" t="s">
        <v>264</v>
      </c>
      <c r="B137" s="472" t="s">
        <v>265</v>
      </c>
      <c r="C137" s="473"/>
      <c r="D137" s="473"/>
      <c r="E137" s="473"/>
      <c r="F137" s="473"/>
      <c r="G137" s="473"/>
      <c r="H137" s="473"/>
      <c r="I137" s="473"/>
      <c r="J137" s="473"/>
      <c r="K137" s="473"/>
      <c r="L137" s="473"/>
      <c r="M137" s="473"/>
      <c r="N137" s="473"/>
      <c r="O137" s="473"/>
      <c r="P137" s="473"/>
      <c r="Q137" s="473"/>
      <c r="R137" s="473"/>
      <c r="S137" s="474"/>
      <c r="T137" s="147"/>
      <c r="U137" s="148"/>
      <c r="V137" s="149"/>
      <c r="W137" s="150"/>
      <c r="X137" s="150"/>
      <c r="Y137" s="242"/>
      <c r="Z137" s="243"/>
      <c r="AA137" s="244"/>
      <c r="AB137" s="242"/>
      <c r="AC137" s="243"/>
      <c r="AD137" s="247"/>
      <c r="AE137" s="264"/>
      <c r="AF137" s="264"/>
    </row>
    <row r="138" spans="1:33" s="157" customFormat="1" x14ac:dyDescent="0.3">
      <c r="A138" s="265"/>
      <c r="B138" s="282"/>
      <c r="C138" s="266"/>
      <c r="D138" s="220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67"/>
      <c r="U138" s="267"/>
      <c r="V138" s="267"/>
      <c r="W138" s="268"/>
      <c r="X138" s="268"/>
      <c r="Y138" s="269"/>
      <c r="Z138" s="269"/>
      <c r="AA138" s="269"/>
      <c r="AB138" s="269"/>
      <c r="AC138" s="269"/>
      <c r="AD138" s="269"/>
      <c r="AE138" s="243"/>
      <c r="AF138" s="243"/>
    </row>
    <row r="139" spans="1:33" s="157" customFormat="1" x14ac:dyDescent="0.3">
      <c r="A139" s="270"/>
      <c r="B139" s="283" t="s">
        <v>222</v>
      </c>
      <c r="C139" s="277" t="s">
        <v>266</v>
      </c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74"/>
      <c r="U139" s="274"/>
      <c r="V139" s="274"/>
      <c r="W139" s="276"/>
      <c r="X139" s="276"/>
      <c r="Y139" s="269"/>
      <c r="Z139" s="269"/>
      <c r="AA139" s="269"/>
      <c r="AB139" s="269"/>
      <c r="AC139" s="269"/>
      <c r="AD139" s="269"/>
      <c r="AE139" s="243"/>
      <c r="AF139" s="243"/>
    </row>
    <row r="140" spans="1:33" s="157" customFormat="1" x14ac:dyDescent="0.3">
      <c r="A140" s="64" t="s">
        <v>185</v>
      </c>
      <c r="B140" s="506"/>
      <c r="C140" s="138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78"/>
      <c r="U140" s="187"/>
      <c r="V140" s="240">
        <f t="shared" ref="V140:V141" si="117">SUM(Y140+Z140)</f>
        <v>0</v>
      </c>
      <c r="W140" s="241">
        <f t="shared" ref="W140:W141" si="118">T140*V140</f>
        <v>0</v>
      </c>
      <c r="X140" s="241">
        <f>SUM(AB140+AC140)*T140</f>
        <v>0</v>
      </c>
      <c r="Y140" s="242">
        <f t="shared" ref="Y140:Y141" si="119">SUM(Z140*AA140)</f>
        <v>0</v>
      </c>
      <c r="Z140" s="249"/>
      <c r="AA140" s="244">
        <v>0.1</v>
      </c>
      <c r="AB140" s="245">
        <f t="shared" ref="AB140:AB141" si="120">SUM(AC140*AD140)</f>
        <v>0</v>
      </c>
      <c r="AC140" s="253">
        <f>SUM(W140*50%)</f>
        <v>0</v>
      </c>
      <c r="AD140" s="247">
        <v>0.15</v>
      </c>
      <c r="AE140" s="124">
        <f>(T140*Z140)</f>
        <v>0</v>
      </c>
      <c r="AF140" s="124">
        <f>(AC140*T140)</f>
        <v>0</v>
      </c>
    </row>
    <row r="141" spans="1:33" s="157" customFormat="1" x14ac:dyDescent="0.3">
      <c r="A141" s="64" t="s">
        <v>185</v>
      </c>
      <c r="B141" s="506"/>
      <c r="C141" s="138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78"/>
      <c r="U141" s="187"/>
      <c r="V141" s="240">
        <f t="shared" si="117"/>
        <v>0</v>
      </c>
      <c r="W141" s="241">
        <f t="shared" si="118"/>
        <v>0</v>
      </c>
      <c r="X141" s="241">
        <f>SUM(AB141+AC141)*T141</f>
        <v>0</v>
      </c>
      <c r="Y141" s="242">
        <f t="shared" si="119"/>
        <v>0</v>
      </c>
      <c r="Z141" s="249"/>
      <c r="AA141" s="244">
        <v>0.1</v>
      </c>
      <c r="AB141" s="245">
        <f t="shared" si="120"/>
        <v>0</v>
      </c>
      <c r="AC141" s="253">
        <f>SUM(W141*50%)</f>
        <v>0</v>
      </c>
      <c r="AD141" s="247">
        <v>0.15</v>
      </c>
      <c r="AE141" s="124">
        <f>(T141*Z141)</f>
        <v>0</v>
      </c>
      <c r="AF141" s="124">
        <f>(AC141*T141)</f>
        <v>0</v>
      </c>
    </row>
    <row r="142" spans="1:33" s="157" customFormat="1" x14ac:dyDescent="0.3">
      <c r="A142" s="270"/>
      <c r="B142" s="283" t="s">
        <v>224</v>
      </c>
      <c r="C142" s="277" t="s">
        <v>267</v>
      </c>
      <c r="D142" s="285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86"/>
      <c r="U142" s="286"/>
      <c r="V142" s="286"/>
      <c r="W142" s="275"/>
      <c r="X142" s="276"/>
      <c r="Y142" s="269"/>
      <c r="Z142" s="269"/>
      <c r="AA142" s="269"/>
      <c r="AB142" s="269"/>
      <c r="AC142" s="269"/>
      <c r="AD142" s="269"/>
      <c r="AE142" s="243"/>
      <c r="AF142" s="243"/>
    </row>
    <row r="143" spans="1:33" s="157" customFormat="1" x14ac:dyDescent="0.3">
      <c r="A143" s="64" t="s">
        <v>185</v>
      </c>
      <c r="B143" s="506"/>
      <c r="C143" s="138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78"/>
      <c r="U143" s="187"/>
      <c r="V143" s="240">
        <f t="shared" ref="V143" si="121">SUM(Y143+Z143)</f>
        <v>0</v>
      </c>
      <c r="W143" s="241">
        <f t="shared" ref="W143" si="122">T143*V143</f>
        <v>0</v>
      </c>
      <c r="X143" s="241">
        <f>SUM(AB143+AC143)*T143</f>
        <v>0</v>
      </c>
      <c r="Y143" s="242">
        <f t="shared" ref="Y143" si="123">SUM(Z143*AA143)</f>
        <v>0</v>
      </c>
      <c r="Z143" s="249"/>
      <c r="AA143" s="244">
        <v>0.1</v>
      </c>
      <c r="AB143" s="245">
        <f t="shared" ref="AB143" si="124">SUM(AC143*AD143)</f>
        <v>0</v>
      </c>
      <c r="AC143" s="253">
        <f>SUM(W143*50%)</f>
        <v>0</v>
      </c>
      <c r="AD143" s="247">
        <v>0.15</v>
      </c>
      <c r="AE143" s="124">
        <f>(T143*Z143)</f>
        <v>0</v>
      </c>
      <c r="AF143" s="124">
        <f>(AC143*T143)</f>
        <v>0</v>
      </c>
    </row>
    <row r="144" spans="1:33" s="157" customFormat="1" ht="14.4" thickBot="1" x14ac:dyDescent="0.35">
      <c r="A144" s="281"/>
      <c r="B144" s="283" t="s">
        <v>226</v>
      </c>
      <c r="C144" s="277" t="s">
        <v>236</v>
      </c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79"/>
      <c r="T144" s="278">
        <v>1</v>
      </c>
      <c r="U144" s="148" t="s">
        <v>162</v>
      </c>
      <c r="V144" s="240">
        <f t="shared" ref="V144" si="125">SUM(Y144+Z144)</f>
        <v>0</v>
      </c>
      <c r="W144" s="241">
        <f t="shared" ref="W144" si="126">T144*V144</f>
        <v>0</v>
      </c>
      <c r="X144" s="241">
        <f>SUM(AB144+AC144)*T144</f>
        <v>0</v>
      </c>
      <c r="Y144" s="242">
        <f t="shared" ref="Y144" si="127">SUM(Z144*AA144)</f>
        <v>0</v>
      </c>
      <c r="Z144" s="249"/>
      <c r="AA144" s="244">
        <v>0.1</v>
      </c>
      <c r="AB144" s="245">
        <f t="shared" ref="AB144" si="128">SUM(AC144*AD144)</f>
        <v>0</v>
      </c>
      <c r="AC144" s="205"/>
      <c r="AD144" s="247">
        <v>0.15</v>
      </c>
      <c r="AE144" s="124">
        <f>(T144*Z144)</f>
        <v>0</v>
      </c>
      <c r="AF144" s="124">
        <f>(AC144*T144)</f>
        <v>0</v>
      </c>
    </row>
    <row r="145" spans="1:33" s="157" customFormat="1" ht="14.4" thickBot="1" x14ac:dyDescent="0.35">
      <c r="A145" s="136"/>
      <c r="B145" s="155"/>
      <c r="C145" s="413"/>
      <c r="D145" s="414"/>
      <c r="E145" s="414"/>
      <c r="F145" s="414"/>
      <c r="G145" s="414"/>
      <c r="H145" s="414"/>
      <c r="I145" s="414"/>
      <c r="J145" s="414"/>
      <c r="K145" s="414"/>
      <c r="L145" s="414"/>
      <c r="M145" s="414"/>
      <c r="N145" s="414"/>
      <c r="O145" s="414"/>
      <c r="P145" s="414"/>
      <c r="Q145" s="414"/>
      <c r="R145" s="415"/>
      <c r="S145" s="466" t="s">
        <v>268</v>
      </c>
      <c r="T145" s="467"/>
      <c r="U145" s="467"/>
      <c r="V145" s="468"/>
      <c r="W145" s="143">
        <f>SUM(W140:W144)</f>
        <v>0</v>
      </c>
      <c r="X145" s="144">
        <f>SUM(X140:X144)</f>
        <v>0</v>
      </c>
      <c r="Y145" s="463" t="s">
        <v>149</v>
      </c>
      <c r="Z145" s="463"/>
      <c r="AA145" s="464"/>
      <c r="AB145" s="465" t="s">
        <v>158</v>
      </c>
      <c r="AC145" s="463"/>
      <c r="AD145" s="464"/>
      <c r="AE145" s="252">
        <f>SUM(AE140:AE144)</f>
        <v>0</v>
      </c>
      <c r="AF145" s="252">
        <f>SUM(AF140:AF144)</f>
        <v>0</v>
      </c>
      <c r="AG145" s="145">
        <f>AE145+AF145</f>
        <v>0</v>
      </c>
    </row>
    <row r="146" spans="1:33" s="157" customFormat="1" x14ac:dyDescent="0.3">
      <c r="A146" s="287" t="s">
        <v>269</v>
      </c>
      <c r="B146" s="288" t="s">
        <v>270</v>
      </c>
      <c r="C146" s="288"/>
      <c r="D146" s="289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1"/>
      <c r="T146" s="233"/>
      <c r="U146" s="292"/>
      <c r="V146" s="203"/>
      <c r="W146" s="293"/>
      <c r="X146" s="294"/>
      <c r="Y146" s="242"/>
      <c r="Z146" s="243"/>
      <c r="AA146" s="244"/>
      <c r="AB146" s="245"/>
      <c r="AC146" s="246"/>
      <c r="AD146" s="247"/>
      <c r="AE146" s="243"/>
      <c r="AF146" s="243"/>
    </row>
    <row r="147" spans="1:33" s="157" customFormat="1" x14ac:dyDescent="0.3">
      <c r="A147" s="287"/>
      <c r="B147" s="295"/>
      <c r="C147" s="289" t="s">
        <v>271</v>
      </c>
      <c r="D147" s="289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90"/>
      <c r="Q147" s="290"/>
      <c r="R147" s="290"/>
      <c r="S147" s="291"/>
      <c r="T147" s="233"/>
      <c r="U147" s="292"/>
      <c r="V147" s="203"/>
      <c r="W147" s="293"/>
      <c r="X147" s="294"/>
      <c r="Y147" s="242"/>
      <c r="Z147" s="243"/>
      <c r="AA147" s="244"/>
      <c r="AB147" s="245"/>
      <c r="AC147" s="246"/>
      <c r="AD147" s="247"/>
      <c r="AE147" s="243"/>
      <c r="AF147" s="243"/>
    </row>
    <row r="148" spans="1:33" s="157" customFormat="1" ht="14.4" thickBot="1" x14ac:dyDescent="0.35">
      <c r="A148" s="64" t="s">
        <v>185</v>
      </c>
      <c r="B148" s="283">
        <v>1</v>
      </c>
      <c r="C148" s="296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5"/>
      <c r="T148" s="297"/>
      <c r="U148" s="298" t="s">
        <v>272</v>
      </c>
      <c r="V148" s="299">
        <f t="shared" ref="V148" si="129">SUM(Y148+Z148)</f>
        <v>0</v>
      </c>
      <c r="W148" s="300">
        <f t="shared" ref="W148" si="130">T148*V148</f>
        <v>0</v>
      </c>
      <c r="X148" s="300">
        <f>SUM(AB148+AC148)*T148</f>
        <v>0</v>
      </c>
      <c r="Y148" s="242">
        <f t="shared" ref="Y148" si="131">SUM(Z148*AA148)</f>
        <v>0</v>
      </c>
      <c r="Z148" s="301"/>
      <c r="AA148" s="244">
        <v>0.1</v>
      </c>
      <c r="AB148" s="245">
        <f t="shared" ref="AB148" si="132">SUM(AC148*AD148)</f>
        <v>0</v>
      </c>
      <c r="AC148" s="205"/>
      <c r="AD148" s="247">
        <v>0.15</v>
      </c>
      <c r="AE148" s="250">
        <f>SUM(T148*Z148)</f>
        <v>0</v>
      </c>
      <c r="AF148" s="250">
        <f>SUM(AC148*T148)</f>
        <v>0</v>
      </c>
    </row>
    <row r="149" spans="1:33" s="284" customFormat="1" ht="14.4" thickBot="1" x14ac:dyDescent="0.35">
      <c r="A149" s="302"/>
      <c r="B149" s="155"/>
      <c r="C149" s="413"/>
      <c r="D149" s="414"/>
      <c r="E149" s="414"/>
      <c r="F149" s="414"/>
      <c r="G149" s="414"/>
      <c r="H149" s="414"/>
      <c r="I149" s="414"/>
      <c r="J149" s="414"/>
      <c r="K149" s="414"/>
      <c r="L149" s="414"/>
      <c r="M149" s="414"/>
      <c r="N149" s="414"/>
      <c r="O149" s="414"/>
      <c r="P149" s="414"/>
      <c r="Q149" s="414"/>
      <c r="R149" s="415"/>
      <c r="S149" s="466" t="s">
        <v>273</v>
      </c>
      <c r="T149" s="467"/>
      <c r="U149" s="467"/>
      <c r="V149" s="468"/>
      <c r="W149" s="143">
        <f>SUM(W148:W148)</f>
        <v>0</v>
      </c>
      <c r="X149" s="144">
        <f>SUM(X148:X148)</f>
        <v>0</v>
      </c>
      <c r="Y149" s="469" t="s">
        <v>149</v>
      </c>
      <c r="Z149" s="469"/>
      <c r="AA149" s="470"/>
      <c r="AB149" s="471" t="s">
        <v>158</v>
      </c>
      <c r="AC149" s="469"/>
      <c r="AD149" s="470"/>
      <c r="AE149" s="252">
        <f>SUM(AE148)</f>
        <v>0</v>
      </c>
      <c r="AF149" s="252">
        <f>SUM(AF148)</f>
        <v>0</v>
      </c>
      <c r="AG149" s="145">
        <f>AE149+AF149</f>
        <v>0</v>
      </c>
    </row>
    <row r="150" spans="1:33" s="157" customFormat="1" x14ac:dyDescent="0.3">
      <c r="A150" s="287"/>
      <c r="B150" s="295"/>
      <c r="C150" s="289" t="s">
        <v>274</v>
      </c>
      <c r="D150" s="289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1"/>
      <c r="T150" s="233"/>
      <c r="U150" s="292"/>
      <c r="V150" s="203"/>
      <c r="W150" s="293"/>
      <c r="X150" s="294"/>
      <c r="Y150" s="242"/>
      <c r="Z150" s="243"/>
      <c r="AA150" s="244"/>
      <c r="AB150" s="245"/>
      <c r="AC150" s="246"/>
      <c r="AD150" s="247"/>
      <c r="AE150" s="243"/>
      <c r="AF150" s="243"/>
    </row>
    <row r="151" spans="1:33" s="157" customFormat="1" ht="14.4" thickBot="1" x14ac:dyDescent="0.35">
      <c r="A151" s="64" t="s">
        <v>185</v>
      </c>
      <c r="B151" s="283">
        <v>1</v>
      </c>
      <c r="C151" s="296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5"/>
      <c r="T151" s="297">
        <v>1</v>
      </c>
      <c r="U151" s="298" t="s">
        <v>162</v>
      </c>
      <c r="V151" s="299">
        <f t="shared" ref="V151" si="133">SUM(Y151+Z151)</f>
        <v>0</v>
      </c>
      <c r="W151" s="300">
        <f t="shared" ref="W151" si="134">T151*V151</f>
        <v>0</v>
      </c>
      <c r="X151" s="300">
        <f>SUM(AB151+AC151)*T151</f>
        <v>0</v>
      </c>
      <c r="Y151" s="242">
        <f t="shared" ref="Y151" si="135">SUM(Z151*AA151)</f>
        <v>0</v>
      </c>
      <c r="Z151" s="301"/>
      <c r="AA151" s="244">
        <v>0.1</v>
      </c>
      <c r="AB151" s="245">
        <f t="shared" ref="AB151" si="136">SUM(AC151*AD151)</f>
        <v>0</v>
      </c>
      <c r="AC151" s="205"/>
      <c r="AD151" s="247">
        <v>0.15</v>
      </c>
      <c r="AE151" s="124">
        <f>(T151*Z151)</f>
        <v>0</v>
      </c>
      <c r="AF151" s="124">
        <f>(AC151*T151)</f>
        <v>0</v>
      </c>
    </row>
    <row r="152" spans="1:33" s="157" customFormat="1" ht="14.4" thickBot="1" x14ac:dyDescent="0.35">
      <c r="A152" s="136"/>
      <c r="B152" s="155"/>
      <c r="C152" s="413"/>
      <c r="D152" s="414"/>
      <c r="E152" s="414"/>
      <c r="F152" s="414"/>
      <c r="G152" s="414"/>
      <c r="H152" s="414"/>
      <c r="I152" s="414"/>
      <c r="J152" s="414"/>
      <c r="K152" s="414"/>
      <c r="L152" s="414"/>
      <c r="M152" s="414"/>
      <c r="N152" s="414"/>
      <c r="O152" s="414"/>
      <c r="P152" s="414"/>
      <c r="Q152" s="414"/>
      <c r="R152" s="415"/>
      <c r="S152" s="457" t="s">
        <v>275</v>
      </c>
      <c r="T152" s="458"/>
      <c r="U152" s="458"/>
      <c r="V152" s="459"/>
      <c r="W152" s="143">
        <f>W151</f>
        <v>0</v>
      </c>
      <c r="X152" s="144">
        <f>SUM(X151)</f>
        <v>0</v>
      </c>
      <c r="Y152" s="463" t="s">
        <v>149</v>
      </c>
      <c r="Z152" s="463"/>
      <c r="AA152" s="464"/>
      <c r="AB152" s="465" t="s">
        <v>158</v>
      </c>
      <c r="AC152" s="463"/>
      <c r="AD152" s="464"/>
      <c r="AE152" s="308"/>
      <c r="AF152" s="309"/>
      <c r="AG152" s="145">
        <f>AE152+AF152</f>
        <v>0</v>
      </c>
    </row>
    <row r="153" spans="1:33" s="157" customFormat="1" x14ac:dyDescent="0.3">
      <c r="A153" s="287"/>
      <c r="B153" s="310"/>
      <c r="C153" s="289" t="s">
        <v>276</v>
      </c>
      <c r="D153" s="289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90"/>
      <c r="Q153" s="290"/>
      <c r="R153" s="290"/>
      <c r="S153" s="291"/>
      <c r="T153" s="233"/>
      <c r="U153" s="292"/>
      <c r="V153" s="203"/>
      <c r="W153" s="293"/>
      <c r="X153" s="294"/>
      <c r="Y153" s="242"/>
      <c r="Z153" s="243"/>
      <c r="AA153" s="244"/>
      <c r="AB153" s="245"/>
      <c r="AC153" s="246"/>
      <c r="AD153" s="247"/>
      <c r="AE153" s="243"/>
      <c r="AF153" s="243"/>
    </row>
    <row r="154" spans="1:33" s="157" customFormat="1" x14ac:dyDescent="0.3">
      <c r="A154" s="64" t="s">
        <v>185</v>
      </c>
      <c r="B154" s="283">
        <v>1</v>
      </c>
      <c r="C154" s="296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5"/>
      <c r="T154" s="297">
        <v>1</v>
      </c>
      <c r="U154" s="298" t="s">
        <v>162</v>
      </c>
      <c r="V154" s="299">
        <f t="shared" ref="V154" si="137">SUM(Y154+Z154)</f>
        <v>0</v>
      </c>
      <c r="W154" s="300">
        <f t="shared" ref="W154" si="138">T154*V154</f>
        <v>0</v>
      </c>
      <c r="X154" s="300">
        <f>SUM(AB154+AC154)*T154</f>
        <v>0</v>
      </c>
      <c r="Y154" s="242">
        <f t="shared" ref="Y154" si="139">SUM(Z154*AA154)</f>
        <v>0</v>
      </c>
      <c r="Z154" s="301"/>
      <c r="AA154" s="244">
        <v>0.1</v>
      </c>
      <c r="AB154" s="245">
        <f t="shared" ref="AB154" si="140">SUM(AC154*AD154)</f>
        <v>0</v>
      </c>
      <c r="AC154" s="301"/>
      <c r="AD154" s="247">
        <v>0.15</v>
      </c>
      <c r="AE154" s="124">
        <f>(T154*Z154)</f>
        <v>0</v>
      </c>
      <c r="AF154" s="124">
        <f>(AC154*T154)</f>
        <v>0</v>
      </c>
    </row>
    <row r="155" spans="1:33" s="157" customFormat="1" ht="14.4" thickBot="1" x14ac:dyDescent="0.35">
      <c r="A155" s="69"/>
      <c r="B155" s="283"/>
      <c r="C155" s="296" t="s">
        <v>277</v>
      </c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303"/>
      <c r="U155" s="304"/>
      <c r="V155" s="305"/>
      <c r="W155" s="306"/>
      <c r="X155" s="300"/>
      <c r="Y155" s="242"/>
      <c r="Z155" s="307"/>
      <c r="AA155" s="244"/>
      <c r="AB155" s="245"/>
      <c r="AC155" s="246"/>
      <c r="AD155" s="247"/>
      <c r="AE155" s="243"/>
      <c r="AF155" s="311"/>
    </row>
    <row r="156" spans="1:33" s="157" customFormat="1" ht="14.4" thickBot="1" x14ac:dyDescent="0.35">
      <c r="A156" s="136"/>
      <c r="B156" s="155"/>
      <c r="C156" s="413"/>
      <c r="D156" s="414"/>
      <c r="E156" s="414"/>
      <c r="F156" s="414"/>
      <c r="G156" s="414"/>
      <c r="H156" s="414"/>
      <c r="I156" s="414"/>
      <c r="J156" s="414"/>
      <c r="K156" s="414"/>
      <c r="L156" s="414"/>
      <c r="M156" s="414"/>
      <c r="N156" s="414"/>
      <c r="O156" s="414"/>
      <c r="P156" s="414"/>
      <c r="Q156" s="414"/>
      <c r="R156" s="415"/>
      <c r="S156" s="457" t="s">
        <v>278</v>
      </c>
      <c r="T156" s="458"/>
      <c r="U156" s="458"/>
      <c r="V156" s="459"/>
      <c r="W156" s="143">
        <f>W154</f>
        <v>0</v>
      </c>
      <c r="X156" s="144">
        <f>SUM(X154)</f>
        <v>0</v>
      </c>
      <c r="Y156" s="463" t="s">
        <v>149</v>
      </c>
      <c r="Z156" s="463"/>
      <c r="AA156" s="464"/>
      <c r="AB156" s="465" t="s">
        <v>158</v>
      </c>
      <c r="AC156" s="463"/>
      <c r="AD156" s="464"/>
      <c r="AE156" s="252">
        <f>SUM(AE154)</f>
        <v>0</v>
      </c>
      <c r="AF156" s="252">
        <f>SUM(AF154)</f>
        <v>0</v>
      </c>
      <c r="AG156" s="145">
        <f>AE156+AF156</f>
        <v>0</v>
      </c>
    </row>
    <row r="157" spans="1:33" s="157" customFormat="1" x14ac:dyDescent="0.3">
      <c r="A157" s="287"/>
      <c r="B157" s="310"/>
      <c r="C157" s="289" t="s">
        <v>279</v>
      </c>
      <c r="D157" s="289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1"/>
      <c r="T157" s="233"/>
      <c r="U157" s="292"/>
      <c r="V157" s="203"/>
      <c r="W157" s="293"/>
      <c r="X157" s="294"/>
      <c r="Y157" s="242"/>
      <c r="Z157" s="243"/>
      <c r="AA157" s="244"/>
      <c r="AB157" s="245"/>
      <c r="AC157" s="246"/>
      <c r="AD157" s="247"/>
      <c r="AE157" s="243"/>
      <c r="AF157" s="243"/>
    </row>
    <row r="158" spans="1:33" s="157" customFormat="1" x14ac:dyDescent="0.3">
      <c r="A158" s="64" t="s">
        <v>185</v>
      </c>
      <c r="B158" s="283">
        <v>1</v>
      </c>
      <c r="C158" s="296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5"/>
      <c r="T158" s="297">
        <v>1</v>
      </c>
      <c r="U158" s="298" t="s">
        <v>162</v>
      </c>
      <c r="V158" s="299">
        <f t="shared" ref="V158" si="141">SUM(Y158+Z158)</f>
        <v>0</v>
      </c>
      <c r="W158" s="300">
        <f t="shared" ref="W158" si="142">T158*V158</f>
        <v>0</v>
      </c>
      <c r="X158" s="300">
        <f>SUM(AB158+AC158)*T158</f>
        <v>0</v>
      </c>
      <c r="Y158" s="242">
        <f t="shared" ref="Y158" si="143">SUM(Z158*AA158)</f>
        <v>0</v>
      </c>
      <c r="Z158" s="301"/>
      <c r="AA158" s="244">
        <v>0.1</v>
      </c>
      <c r="AB158" s="245">
        <f t="shared" ref="AB158" si="144">SUM(AC158*AD158)</f>
        <v>0</v>
      </c>
      <c r="AC158" s="301"/>
      <c r="AD158" s="247">
        <v>0.15</v>
      </c>
      <c r="AE158" s="124">
        <f>(T158*Z158)</f>
        <v>0</v>
      </c>
      <c r="AF158" s="124">
        <f>(AC158*T158)</f>
        <v>0</v>
      </c>
    </row>
    <row r="159" spans="1:33" s="157" customFormat="1" ht="14.4" thickBot="1" x14ac:dyDescent="0.35">
      <c r="A159" s="69"/>
      <c r="B159" s="283"/>
      <c r="C159" s="296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303"/>
      <c r="U159" s="304"/>
      <c r="V159" s="305"/>
      <c r="W159" s="306"/>
      <c r="X159" s="300"/>
      <c r="Y159" s="242"/>
      <c r="Z159" s="307"/>
      <c r="AA159" s="244"/>
      <c r="AB159" s="245"/>
      <c r="AC159" s="246"/>
      <c r="AD159" s="247"/>
      <c r="AE159" s="243"/>
      <c r="AF159" s="311"/>
    </row>
    <row r="160" spans="1:33" s="157" customFormat="1" ht="14.4" thickBot="1" x14ac:dyDescent="0.35">
      <c r="A160" s="136"/>
      <c r="B160" s="155"/>
      <c r="C160" s="413"/>
      <c r="D160" s="414"/>
      <c r="E160" s="414"/>
      <c r="F160" s="414"/>
      <c r="G160" s="414"/>
      <c r="H160" s="414"/>
      <c r="I160" s="414"/>
      <c r="J160" s="414"/>
      <c r="K160" s="414"/>
      <c r="L160" s="414"/>
      <c r="M160" s="414"/>
      <c r="N160" s="414"/>
      <c r="O160" s="414"/>
      <c r="P160" s="414"/>
      <c r="Q160" s="414"/>
      <c r="R160" s="415"/>
      <c r="S160" s="457" t="s">
        <v>280</v>
      </c>
      <c r="T160" s="458"/>
      <c r="U160" s="458"/>
      <c r="V160" s="459"/>
      <c r="W160" s="143">
        <f>W158</f>
        <v>0</v>
      </c>
      <c r="X160" s="144">
        <f>SUM(X158)</f>
        <v>0</v>
      </c>
      <c r="Y160" s="463" t="s">
        <v>149</v>
      </c>
      <c r="Z160" s="463"/>
      <c r="AA160" s="464"/>
      <c r="AB160" s="465" t="s">
        <v>158</v>
      </c>
      <c r="AC160" s="463"/>
      <c r="AD160" s="464"/>
      <c r="AE160" s="252">
        <f>SUM(AE158)</f>
        <v>0</v>
      </c>
      <c r="AF160" s="252">
        <f>SUM(AF158)</f>
        <v>0</v>
      </c>
      <c r="AG160" s="145">
        <f>AE160+AF160</f>
        <v>0</v>
      </c>
    </row>
    <row r="161" spans="1:33" s="157" customFormat="1" x14ac:dyDescent="0.3">
      <c r="A161" s="287" t="s">
        <v>281</v>
      </c>
      <c r="B161" s="288" t="s">
        <v>282</v>
      </c>
      <c r="C161" s="288"/>
      <c r="D161" s="289"/>
      <c r="E161" s="290"/>
      <c r="F161" s="290"/>
      <c r="G161" s="290"/>
      <c r="H161" s="312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1"/>
      <c r="T161" s="233"/>
      <c r="U161" s="292"/>
      <c r="V161" s="203"/>
      <c r="W161" s="293"/>
      <c r="X161" s="294"/>
      <c r="Y161" s="242"/>
      <c r="Z161" s="243"/>
      <c r="AA161" s="244"/>
      <c r="AB161" s="245"/>
      <c r="AC161" s="246"/>
      <c r="AD161" s="247"/>
      <c r="AE161" s="243"/>
      <c r="AF161" s="243"/>
    </row>
    <row r="162" spans="1:33" s="157" customFormat="1" x14ac:dyDescent="0.3">
      <c r="A162" s="287"/>
      <c r="B162" s="295"/>
      <c r="C162" s="289" t="s">
        <v>283</v>
      </c>
      <c r="D162" s="289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1"/>
      <c r="T162" s="233"/>
      <c r="U162" s="292"/>
      <c r="V162" s="203"/>
      <c r="W162" s="293"/>
      <c r="X162" s="294"/>
      <c r="Y162" s="118"/>
      <c r="Z162" s="156"/>
      <c r="AA162" s="120"/>
      <c r="AB162" s="121"/>
      <c r="AC162" s="234"/>
      <c r="AD162" s="123"/>
      <c r="AE162" s="156"/>
      <c r="AF162" s="156"/>
    </row>
    <row r="163" spans="1:33" s="157" customFormat="1" ht="14.4" thickBot="1" x14ac:dyDescent="0.35">
      <c r="A163" s="64" t="s">
        <v>185</v>
      </c>
      <c r="B163" s="283">
        <v>1</v>
      </c>
      <c r="C163" s="296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5"/>
      <c r="T163" s="297"/>
      <c r="U163" s="298"/>
      <c r="V163" s="299">
        <f t="shared" ref="V163" si="145">SUM(Y163+Z163)</f>
        <v>0</v>
      </c>
      <c r="W163" s="300">
        <f t="shared" ref="W163" si="146">T163*V163</f>
        <v>0</v>
      </c>
      <c r="X163" s="300">
        <f>SUM(AB163+AC163)*T163</f>
        <v>0</v>
      </c>
      <c r="Y163" s="118">
        <f t="shared" ref="Y163" si="147">SUM(Z163*AA163)</f>
        <v>0</v>
      </c>
      <c r="Z163" s="313"/>
      <c r="AA163" s="120">
        <v>0.1</v>
      </c>
      <c r="AB163" s="121">
        <f t="shared" ref="AB163" si="148">SUM(AC163*AD163)</f>
        <v>0</v>
      </c>
      <c r="AC163" s="205"/>
      <c r="AD163" s="123">
        <v>0.15</v>
      </c>
      <c r="AE163" s="124">
        <f>(T163*Z163)</f>
        <v>0</v>
      </c>
      <c r="AF163" s="124">
        <f>(AC163*T163)</f>
        <v>0</v>
      </c>
    </row>
    <row r="164" spans="1:33" s="157" customFormat="1" ht="14.4" thickBot="1" x14ac:dyDescent="0.35">
      <c r="A164" s="136"/>
      <c r="B164" s="155"/>
      <c r="C164" s="413"/>
      <c r="D164" s="414"/>
      <c r="E164" s="414"/>
      <c r="F164" s="414"/>
      <c r="G164" s="414"/>
      <c r="H164" s="414"/>
      <c r="I164" s="414"/>
      <c r="J164" s="414"/>
      <c r="K164" s="414"/>
      <c r="L164" s="414"/>
      <c r="M164" s="414"/>
      <c r="N164" s="414"/>
      <c r="O164" s="414"/>
      <c r="P164" s="414"/>
      <c r="Q164" s="414"/>
      <c r="R164" s="415"/>
      <c r="S164" s="457" t="s">
        <v>284</v>
      </c>
      <c r="T164" s="458"/>
      <c r="U164" s="458"/>
      <c r="V164" s="459"/>
      <c r="W164" s="143">
        <f>SUM(W163:W163)</f>
        <v>0</v>
      </c>
      <c r="X164" s="144">
        <f>SUM(X163:X163)</f>
        <v>0</v>
      </c>
      <c r="Y164" s="460" t="s">
        <v>149</v>
      </c>
      <c r="Z164" s="460"/>
      <c r="AA164" s="461"/>
      <c r="AB164" s="462" t="s">
        <v>158</v>
      </c>
      <c r="AC164" s="460"/>
      <c r="AD164" s="461"/>
      <c r="AE164" s="145">
        <f>SUM(AE163:AE163)</f>
        <v>0</v>
      </c>
      <c r="AF164" s="145">
        <f>SUM(AF163:AF163)</f>
        <v>0</v>
      </c>
      <c r="AG164" s="145">
        <f>AE164+AF164</f>
        <v>0</v>
      </c>
    </row>
    <row r="165" spans="1:33" s="157" customFormat="1" x14ac:dyDescent="0.3">
      <c r="A165" s="287"/>
      <c r="B165" s="295"/>
      <c r="C165" s="289" t="s">
        <v>285</v>
      </c>
      <c r="D165" s="289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1"/>
      <c r="T165" s="233"/>
      <c r="U165" s="292"/>
      <c r="V165" s="203"/>
      <c r="W165" s="293"/>
      <c r="X165" s="294"/>
      <c r="Y165" s="118"/>
      <c r="Z165" s="156"/>
      <c r="AA165" s="120"/>
      <c r="AB165" s="121"/>
      <c r="AC165" s="234"/>
      <c r="AD165" s="123"/>
      <c r="AE165" s="156"/>
      <c r="AF165" s="156"/>
    </row>
    <row r="166" spans="1:33" s="157" customFormat="1" ht="14.4" thickBot="1" x14ac:dyDescent="0.35">
      <c r="A166" s="64" t="s">
        <v>185</v>
      </c>
      <c r="B166" s="283">
        <v>1</v>
      </c>
      <c r="C166" s="31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5"/>
      <c r="T166" s="297"/>
      <c r="U166" s="298"/>
      <c r="V166" s="299">
        <f t="shared" ref="V166" si="149">SUM(Y166+Z166)</f>
        <v>0</v>
      </c>
      <c r="W166" s="300">
        <f t="shared" ref="W166" si="150">T166*V166</f>
        <v>0</v>
      </c>
      <c r="X166" s="300">
        <f>SUM(AB166+AC166)*T166</f>
        <v>0</v>
      </c>
      <c r="Y166" s="118">
        <f t="shared" ref="Y166" si="151">SUM(Z166*AA166)</f>
        <v>0</v>
      </c>
      <c r="Z166" s="313"/>
      <c r="AA166" s="120">
        <v>0.1</v>
      </c>
      <c r="AB166" s="121">
        <f t="shared" ref="AB166" si="152">SUM(AC166*AD166)</f>
        <v>0</v>
      </c>
      <c r="AC166" s="205"/>
      <c r="AD166" s="123">
        <v>0.15</v>
      </c>
      <c r="AE166" s="124">
        <f>(T166*Z166)</f>
        <v>0</v>
      </c>
      <c r="AF166" s="124">
        <f>(AC166*T166)</f>
        <v>0</v>
      </c>
    </row>
    <row r="167" spans="1:33" s="157" customFormat="1" ht="14.4" thickBot="1" x14ac:dyDescent="0.35">
      <c r="A167" s="136"/>
      <c r="B167" s="155"/>
      <c r="C167" s="413"/>
      <c r="D167" s="414"/>
      <c r="E167" s="414"/>
      <c r="F167" s="414"/>
      <c r="G167" s="414"/>
      <c r="H167" s="414"/>
      <c r="I167" s="414"/>
      <c r="J167" s="414"/>
      <c r="K167" s="414"/>
      <c r="L167" s="414"/>
      <c r="M167" s="414"/>
      <c r="N167" s="414"/>
      <c r="O167" s="414"/>
      <c r="P167" s="414"/>
      <c r="Q167" s="414"/>
      <c r="R167" s="415"/>
      <c r="S167" s="457" t="s">
        <v>286</v>
      </c>
      <c r="T167" s="458"/>
      <c r="U167" s="458"/>
      <c r="V167" s="459"/>
      <c r="W167" s="143">
        <f>SUM(W166:W166)</f>
        <v>0</v>
      </c>
      <c r="X167" s="144">
        <f>SUM(X166:X166)</f>
        <v>0</v>
      </c>
      <c r="Y167" s="460" t="s">
        <v>149</v>
      </c>
      <c r="Z167" s="460"/>
      <c r="AA167" s="461"/>
      <c r="AB167" s="462" t="s">
        <v>158</v>
      </c>
      <c r="AC167" s="460"/>
      <c r="AD167" s="461"/>
      <c r="AE167" s="145">
        <f>SUM(AE166:AE166)</f>
        <v>0</v>
      </c>
      <c r="AF167" s="145">
        <f>SUM(AF166:AF166)</f>
        <v>0</v>
      </c>
      <c r="AG167" s="145">
        <f>AE167+AF167</f>
        <v>0</v>
      </c>
    </row>
    <row r="168" spans="1:33" s="157" customFormat="1" x14ac:dyDescent="0.3">
      <c r="A168" s="287"/>
      <c r="B168" s="295"/>
      <c r="C168" s="289" t="s">
        <v>287</v>
      </c>
      <c r="D168" s="289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1"/>
      <c r="T168" s="233"/>
      <c r="U168" s="292"/>
      <c r="V168" s="203"/>
      <c r="W168" s="293"/>
      <c r="X168" s="294"/>
      <c r="Y168" s="118"/>
      <c r="Z168" s="156"/>
      <c r="AA168" s="120"/>
      <c r="AB168" s="121"/>
      <c r="AC168" s="234"/>
      <c r="AD168" s="123"/>
      <c r="AE168" s="156"/>
      <c r="AF168" s="156"/>
    </row>
    <row r="169" spans="1:33" s="157" customFormat="1" ht="14.4" thickBot="1" x14ac:dyDescent="0.35">
      <c r="A169" s="64" t="s">
        <v>185</v>
      </c>
      <c r="B169" s="283">
        <v>1</v>
      </c>
      <c r="C169" s="296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5"/>
      <c r="T169" s="297"/>
      <c r="U169" s="298"/>
      <c r="V169" s="299">
        <f t="shared" ref="V169" si="153">SUM(Y169+Z169)</f>
        <v>0</v>
      </c>
      <c r="W169" s="300">
        <f t="shared" ref="W169" si="154">T169*V169</f>
        <v>0</v>
      </c>
      <c r="X169" s="300">
        <f>SUM(AB169+AC169)*T169</f>
        <v>0</v>
      </c>
      <c r="Y169" s="118">
        <f t="shared" ref="Y169" si="155">SUM(Z169*AA169)</f>
        <v>0</v>
      </c>
      <c r="Z169" s="313"/>
      <c r="AA169" s="120">
        <v>0.1</v>
      </c>
      <c r="AB169" s="121">
        <f t="shared" ref="AB169" si="156">SUM(AC169*AD169)</f>
        <v>0</v>
      </c>
      <c r="AC169" s="205"/>
      <c r="AD169" s="123">
        <v>0.15</v>
      </c>
      <c r="AE169" s="124">
        <f>(T169*Z169)</f>
        <v>0</v>
      </c>
      <c r="AF169" s="124">
        <f>(AC169*T169)</f>
        <v>0</v>
      </c>
    </row>
    <row r="170" spans="1:33" s="157" customFormat="1" ht="14.4" thickBot="1" x14ac:dyDescent="0.35">
      <c r="A170" s="136"/>
      <c r="B170" s="155"/>
      <c r="C170" s="413"/>
      <c r="D170" s="414"/>
      <c r="E170" s="414"/>
      <c r="F170" s="414"/>
      <c r="G170" s="414"/>
      <c r="H170" s="414"/>
      <c r="I170" s="414"/>
      <c r="J170" s="414"/>
      <c r="K170" s="414"/>
      <c r="L170" s="414"/>
      <c r="M170" s="414"/>
      <c r="N170" s="414"/>
      <c r="O170" s="414"/>
      <c r="P170" s="414"/>
      <c r="Q170" s="414"/>
      <c r="R170" s="415"/>
      <c r="S170" s="457" t="s">
        <v>288</v>
      </c>
      <c r="T170" s="458"/>
      <c r="U170" s="458"/>
      <c r="V170" s="459"/>
      <c r="W170" s="143">
        <f>SUM(W169:W169)</f>
        <v>0</v>
      </c>
      <c r="X170" s="144">
        <f>SUM(X169:X169)</f>
        <v>0</v>
      </c>
      <c r="Y170" s="460" t="s">
        <v>149</v>
      </c>
      <c r="Z170" s="460"/>
      <c r="AA170" s="461"/>
      <c r="AB170" s="462" t="s">
        <v>158</v>
      </c>
      <c r="AC170" s="460"/>
      <c r="AD170" s="461"/>
      <c r="AE170" s="145">
        <f>SUM(AE169:AE169)</f>
        <v>0</v>
      </c>
      <c r="AF170" s="145">
        <f>SUM(AF169:AF169)</f>
        <v>0</v>
      </c>
      <c r="AG170" s="145">
        <f>AE170+AF170</f>
        <v>0</v>
      </c>
    </row>
    <row r="171" spans="1:33" x14ac:dyDescent="0.3">
      <c r="A171" s="441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3"/>
      <c r="T171" s="447" t="s">
        <v>289</v>
      </c>
      <c r="U171" s="448"/>
      <c r="V171" s="449"/>
      <c r="W171" s="453">
        <f>W90+W99+W106+W110+W114+W117+W136+W145+W149+W152+W160+W156+W167+W164+W170+W85+W66+W63+W55+W49+W40</f>
        <v>1383455.3641113702</v>
      </c>
      <c r="X171" s="453">
        <f>X90+X99+X106+X110+X114+X117+X136+X145+X149+X152+X160+X156+X167+X164+X170+X85+X66+X63+X55+X49+X40</f>
        <v>983540.38791732141</v>
      </c>
    </row>
    <row r="172" spans="1:33" x14ac:dyDescent="0.3">
      <c r="A172" s="444"/>
      <c r="B172" s="445"/>
      <c r="C172" s="445"/>
      <c r="D172" s="445"/>
      <c r="E172" s="445"/>
      <c r="F172" s="445"/>
      <c r="G172" s="445"/>
      <c r="H172" s="445"/>
      <c r="I172" s="445"/>
      <c r="J172" s="445"/>
      <c r="K172" s="445"/>
      <c r="L172" s="445"/>
      <c r="M172" s="445"/>
      <c r="N172" s="445"/>
      <c r="O172" s="445"/>
      <c r="P172" s="445"/>
      <c r="Q172" s="445"/>
      <c r="R172" s="445"/>
      <c r="S172" s="446"/>
      <c r="T172" s="450"/>
      <c r="U172" s="451"/>
      <c r="V172" s="452"/>
      <c r="W172" s="454"/>
      <c r="X172" s="454"/>
      <c r="Z172" s="315"/>
      <c r="AC172" s="315"/>
      <c r="AE172" s="396" t="s">
        <v>401</v>
      </c>
      <c r="AF172" s="397" t="s">
        <v>402</v>
      </c>
      <c r="AG172" s="397" t="s">
        <v>404</v>
      </c>
    </row>
    <row r="173" spans="1:33" x14ac:dyDescent="0.3">
      <c r="A173" s="425" t="s">
        <v>290</v>
      </c>
      <c r="B173" s="426"/>
      <c r="C173" s="426"/>
      <c r="D173" s="426"/>
      <c r="E173" s="426"/>
      <c r="F173" s="426"/>
      <c r="G173" s="426"/>
      <c r="H173" s="426"/>
      <c r="I173" s="426"/>
      <c r="J173" s="426"/>
      <c r="K173" s="426"/>
      <c r="L173" s="426"/>
      <c r="M173" s="426"/>
      <c r="N173" s="426"/>
      <c r="O173" s="426"/>
      <c r="P173" s="426"/>
      <c r="Q173" s="426"/>
      <c r="R173" s="426"/>
      <c r="S173" s="427"/>
      <c r="T173" s="455" t="s">
        <v>291</v>
      </c>
      <c r="U173" s="456"/>
      <c r="V173" s="316"/>
      <c r="W173" s="317"/>
      <c r="X173" s="318"/>
      <c r="AE173" s="396"/>
      <c r="AF173" s="397"/>
      <c r="AG173" s="397"/>
    </row>
    <row r="174" spans="1:33" x14ac:dyDescent="0.3">
      <c r="A174" s="280" t="s">
        <v>292</v>
      </c>
      <c r="B174" s="425" t="s">
        <v>157</v>
      </c>
      <c r="C174" s="426"/>
      <c r="D174" s="426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7"/>
      <c r="T174" s="437">
        <f>X20</f>
        <v>667000</v>
      </c>
      <c r="U174" s="438"/>
      <c r="V174" s="319"/>
      <c r="W174" s="168"/>
      <c r="X174" s="320"/>
      <c r="AE174" s="355">
        <f>AE20+AE27+AE90+AE99+AE106+AE110+AE114+AE117+AE136+AE145+AE149+AE156+AE160+AE164+AE167+AE170+AE85+AE66+AE63+AE55+AE49+AE40</f>
        <v>1257311.6946467001</v>
      </c>
      <c r="AF174" s="355">
        <f>AF20+AF27+AF90+AF99+AF106+AF110+AF114+AF117+AF136+AF145+AF149+AF156+AF160+AF164+AF167+AF170+AF85+AF66+AF63+AF55+AF49+AF40</f>
        <v>1659320.4511724536</v>
      </c>
      <c r="AG174" s="355">
        <f>AE174+AF174</f>
        <v>2916632.1458191536</v>
      </c>
    </row>
    <row r="175" spans="1:33" x14ac:dyDescent="0.3">
      <c r="A175" s="280" t="s">
        <v>292</v>
      </c>
      <c r="B175" s="425" t="s">
        <v>175</v>
      </c>
      <c r="C175" s="426"/>
      <c r="D175" s="426"/>
      <c r="E175" s="426"/>
      <c r="F175" s="426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7"/>
      <c r="T175" s="437">
        <f>W27+X27</f>
        <v>281750</v>
      </c>
      <c r="U175" s="438"/>
      <c r="V175" s="319"/>
      <c r="W175" s="168"/>
      <c r="X175" s="320"/>
      <c r="AE175" s="328"/>
      <c r="AF175" s="353"/>
    </row>
    <row r="176" spans="1:33" x14ac:dyDescent="0.3">
      <c r="A176" s="321" t="s">
        <v>294</v>
      </c>
      <c r="B176" s="425" t="s">
        <v>238</v>
      </c>
      <c r="C176" s="426"/>
      <c r="D176" s="426"/>
      <c r="E176" s="426"/>
      <c r="F176" s="426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7"/>
      <c r="T176" s="437">
        <f>SUM(T178:U183)</f>
        <v>27936</v>
      </c>
      <c r="U176" s="438"/>
      <c r="V176" s="319"/>
      <c r="W176" s="168"/>
      <c r="X176" s="320"/>
      <c r="AE176" s="354" t="s">
        <v>293</v>
      </c>
      <c r="AF176" s="355">
        <f>J205</f>
        <v>4325058.758946225</v>
      </c>
    </row>
    <row r="177" spans="1:32" x14ac:dyDescent="0.3">
      <c r="A177" s="321"/>
      <c r="B177" s="322" t="s">
        <v>296</v>
      </c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221"/>
      <c r="T177" s="324"/>
      <c r="U177" s="325"/>
      <c r="V177" s="319"/>
      <c r="W177" s="168"/>
      <c r="X177" s="320"/>
      <c r="AE177" s="354" t="s">
        <v>295</v>
      </c>
      <c r="AF177" s="355">
        <f>AG174</f>
        <v>2916632.1458191536</v>
      </c>
    </row>
    <row r="178" spans="1:32" x14ac:dyDescent="0.3">
      <c r="A178" s="321"/>
      <c r="B178" s="326" t="s">
        <v>222</v>
      </c>
      <c r="C178" s="323" t="s">
        <v>298</v>
      </c>
      <c r="D178" s="323"/>
      <c r="E178" s="323"/>
      <c r="F178" s="323"/>
      <c r="G178" s="323"/>
      <c r="H178" s="323"/>
      <c r="I178" s="323"/>
      <c r="J178" s="323"/>
      <c r="K178" s="323"/>
      <c r="L178" s="323"/>
      <c r="M178" s="323"/>
      <c r="N178" s="323"/>
      <c r="O178" s="323"/>
      <c r="P178" s="323"/>
      <c r="Q178" s="323"/>
      <c r="R178" s="323"/>
      <c r="S178" s="221"/>
      <c r="T178" s="439">
        <f>W90+X90</f>
        <v>6111</v>
      </c>
      <c r="U178" s="440"/>
      <c r="V178" s="319"/>
      <c r="W178" s="168"/>
      <c r="X178" s="320"/>
      <c r="AE178" s="356" t="s">
        <v>297</v>
      </c>
      <c r="AF178" s="355">
        <f>AF176-AF177</f>
        <v>1408426.6131270714</v>
      </c>
    </row>
    <row r="179" spans="1:32" x14ac:dyDescent="0.3">
      <c r="A179" s="321"/>
      <c r="B179" s="326" t="s">
        <v>224</v>
      </c>
      <c r="C179" s="323" t="s">
        <v>300</v>
      </c>
      <c r="D179" s="323"/>
      <c r="E179" s="323"/>
      <c r="F179" s="323"/>
      <c r="G179" s="323"/>
      <c r="H179" s="323"/>
      <c r="I179" s="323"/>
      <c r="J179" s="323"/>
      <c r="K179" s="323"/>
      <c r="L179" s="323"/>
      <c r="M179" s="323"/>
      <c r="N179" s="323"/>
      <c r="O179" s="323"/>
      <c r="P179" s="323"/>
      <c r="Q179" s="323"/>
      <c r="R179" s="323"/>
      <c r="S179" s="221"/>
      <c r="T179" s="439">
        <f>W99+X99</f>
        <v>21825</v>
      </c>
      <c r="U179" s="440"/>
      <c r="V179" s="319"/>
      <c r="W179" s="168"/>
      <c r="X179" s="320"/>
      <c r="AE179" s="354" t="s">
        <v>299</v>
      </c>
      <c r="AF179" s="376">
        <f>AF178/AF176</f>
        <v>0.32564334766869762</v>
      </c>
    </row>
    <row r="180" spans="1:32" x14ac:dyDescent="0.3">
      <c r="A180" s="321"/>
      <c r="B180" s="326" t="s">
        <v>225</v>
      </c>
      <c r="C180" s="323" t="s">
        <v>301</v>
      </c>
      <c r="D180" s="323"/>
      <c r="E180" s="323"/>
      <c r="F180" s="323"/>
      <c r="G180" s="323"/>
      <c r="H180" s="323"/>
      <c r="I180" s="323"/>
      <c r="J180" s="323"/>
      <c r="K180" s="323"/>
      <c r="L180" s="323"/>
      <c r="M180" s="323"/>
      <c r="N180" s="323"/>
      <c r="O180" s="323"/>
      <c r="P180" s="323"/>
      <c r="Q180" s="323"/>
      <c r="R180" s="323"/>
      <c r="S180" s="221"/>
      <c r="T180" s="439">
        <f>W106+X106</f>
        <v>0</v>
      </c>
      <c r="U180" s="440"/>
      <c r="V180" s="319"/>
      <c r="W180" s="168"/>
      <c r="X180" s="320"/>
      <c r="AF180" s="327"/>
    </row>
    <row r="181" spans="1:32" x14ac:dyDescent="0.3">
      <c r="A181" s="321"/>
      <c r="B181" s="326" t="s">
        <v>302</v>
      </c>
      <c r="C181" s="323" t="s">
        <v>303</v>
      </c>
      <c r="D181" s="323"/>
      <c r="E181" s="323"/>
      <c r="F181" s="323"/>
      <c r="G181" s="323"/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221"/>
      <c r="T181" s="439">
        <f>W110+X110</f>
        <v>0</v>
      </c>
      <c r="U181" s="440"/>
      <c r="V181" s="319"/>
      <c r="W181" s="168"/>
      <c r="X181" s="320"/>
    </row>
    <row r="182" spans="1:32" x14ac:dyDescent="0.3">
      <c r="A182" s="321"/>
      <c r="B182" s="326" t="s">
        <v>226</v>
      </c>
      <c r="C182" s="323" t="s">
        <v>304</v>
      </c>
      <c r="D182" s="323"/>
      <c r="E182" s="323"/>
      <c r="F182" s="323"/>
      <c r="G182" s="323"/>
      <c r="H182" s="323"/>
      <c r="I182" s="323"/>
      <c r="J182" s="323"/>
      <c r="K182" s="323"/>
      <c r="L182" s="323"/>
      <c r="M182" s="323"/>
      <c r="N182" s="323"/>
      <c r="O182" s="323"/>
      <c r="P182" s="323"/>
      <c r="Q182" s="323"/>
      <c r="R182" s="323"/>
      <c r="S182" s="221"/>
      <c r="T182" s="439">
        <f>W114+X114</f>
        <v>0</v>
      </c>
      <c r="U182" s="440"/>
      <c r="V182" s="319"/>
      <c r="W182" s="168"/>
      <c r="X182" s="320"/>
    </row>
    <row r="183" spans="1:32" x14ac:dyDescent="0.3">
      <c r="A183" s="321"/>
      <c r="B183" s="326" t="s">
        <v>227</v>
      </c>
      <c r="C183" s="323" t="s">
        <v>305</v>
      </c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221"/>
      <c r="T183" s="439">
        <f>W117+X117</f>
        <v>0</v>
      </c>
      <c r="U183" s="440"/>
      <c r="V183" s="319"/>
      <c r="W183" s="168"/>
      <c r="X183" s="320"/>
    </row>
    <row r="184" spans="1:32" x14ac:dyDescent="0.3">
      <c r="A184" s="321" t="s">
        <v>306</v>
      </c>
      <c r="B184" s="425" t="s">
        <v>256</v>
      </c>
      <c r="C184" s="426"/>
      <c r="D184" s="426"/>
      <c r="E184" s="426"/>
      <c r="F184" s="426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7"/>
      <c r="T184" s="437">
        <f>W136+X136</f>
        <v>0</v>
      </c>
      <c r="U184" s="438"/>
      <c r="V184" s="319"/>
      <c r="W184" s="168"/>
      <c r="X184" s="320"/>
    </row>
    <row r="185" spans="1:32" x14ac:dyDescent="0.3">
      <c r="A185" s="321" t="s">
        <v>307</v>
      </c>
      <c r="B185" s="425" t="s">
        <v>265</v>
      </c>
      <c r="C185" s="426"/>
      <c r="D185" s="426"/>
      <c r="E185" s="426"/>
      <c r="F185" s="426"/>
      <c r="G185" s="426"/>
      <c r="H185" s="426"/>
      <c r="I185" s="426"/>
      <c r="J185" s="426"/>
      <c r="K185" s="426"/>
      <c r="L185" s="426"/>
      <c r="M185" s="426"/>
      <c r="N185" s="426"/>
      <c r="O185" s="426"/>
      <c r="P185" s="426"/>
      <c r="Q185" s="426"/>
      <c r="R185" s="426"/>
      <c r="S185" s="427"/>
      <c r="T185" s="428">
        <f>W145+X145</f>
        <v>0</v>
      </c>
      <c r="U185" s="429"/>
      <c r="V185" s="319"/>
      <c r="W185" s="168"/>
      <c r="X185" s="320"/>
    </row>
    <row r="186" spans="1:32" x14ac:dyDescent="0.3">
      <c r="A186" s="321" t="s">
        <v>308</v>
      </c>
      <c r="B186" s="425" t="s">
        <v>270</v>
      </c>
      <c r="C186" s="426"/>
      <c r="D186" s="426"/>
      <c r="E186" s="426"/>
      <c r="F186" s="426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7"/>
      <c r="T186" s="428">
        <f>SUM(T187:U190)</f>
        <v>0</v>
      </c>
      <c r="U186" s="429"/>
      <c r="V186" s="319"/>
      <c r="W186" s="168"/>
      <c r="X186" s="320"/>
    </row>
    <row r="187" spans="1:32" x14ac:dyDescent="0.3">
      <c r="A187" s="321"/>
      <c r="B187" s="326" t="s">
        <v>222</v>
      </c>
      <c r="C187" s="323" t="s">
        <v>309</v>
      </c>
      <c r="D187" s="323"/>
      <c r="E187" s="323"/>
      <c r="F187" s="323"/>
      <c r="G187" s="323"/>
      <c r="H187" s="323"/>
      <c r="I187" s="323"/>
      <c r="J187" s="323"/>
      <c r="K187" s="323"/>
      <c r="L187" s="323"/>
      <c r="M187" s="323"/>
      <c r="N187" s="323"/>
      <c r="O187" s="323"/>
      <c r="P187" s="323"/>
      <c r="Q187" s="323"/>
      <c r="R187" s="323"/>
      <c r="S187" s="221"/>
      <c r="T187" s="430">
        <f>W149+X149</f>
        <v>0</v>
      </c>
      <c r="U187" s="431"/>
      <c r="V187" s="319"/>
      <c r="W187" s="168"/>
      <c r="X187" s="320"/>
    </row>
    <row r="188" spans="1:32" x14ac:dyDescent="0.3">
      <c r="A188" s="321"/>
      <c r="B188" s="326" t="s">
        <v>224</v>
      </c>
      <c r="C188" s="323" t="s">
        <v>310</v>
      </c>
      <c r="D188" s="323"/>
      <c r="E188" s="323"/>
      <c r="F188" s="323"/>
      <c r="G188" s="323"/>
      <c r="H188" s="323"/>
      <c r="I188" s="323"/>
      <c r="J188" s="323"/>
      <c r="K188" s="323"/>
      <c r="L188" s="323"/>
      <c r="M188" s="323"/>
      <c r="N188" s="323"/>
      <c r="O188" s="323"/>
      <c r="P188" s="323"/>
      <c r="Q188" s="323"/>
      <c r="R188" s="323"/>
      <c r="S188" s="221"/>
      <c r="T188" s="430">
        <f>W152+X152</f>
        <v>0</v>
      </c>
      <c r="U188" s="431"/>
      <c r="V188" s="319"/>
      <c r="W188" s="168"/>
      <c r="X188" s="320"/>
    </row>
    <row r="189" spans="1:32" x14ac:dyDescent="0.3">
      <c r="A189" s="321"/>
      <c r="B189" s="326" t="s">
        <v>311</v>
      </c>
      <c r="C189" s="323" t="s">
        <v>312</v>
      </c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221"/>
      <c r="T189" s="430">
        <f>W156+X156</f>
        <v>0</v>
      </c>
      <c r="U189" s="431"/>
      <c r="V189" s="319"/>
      <c r="W189" s="168"/>
      <c r="X189" s="320"/>
    </row>
    <row r="190" spans="1:32" x14ac:dyDescent="0.3">
      <c r="A190" s="321"/>
      <c r="B190" s="326" t="s">
        <v>302</v>
      </c>
      <c r="C190" s="323" t="s">
        <v>313</v>
      </c>
      <c r="D190" s="323"/>
      <c r="E190" s="323"/>
      <c r="F190" s="323"/>
      <c r="G190" s="323"/>
      <c r="H190" s="323"/>
      <c r="I190" s="323"/>
      <c r="J190" s="323"/>
      <c r="K190" s="323"/>
      <c r="L190" s="323"/>
      <c r="M190" s="323"/>
      <c r="N190" s="323"/>
      <c r="O190" s="323"/>
      <c r="P190" s="323"/>
      <c r="Q190" s="323"/>
      <c r="R190" s="323"/>
      <c r="S190" s="221"/>
      <c r="T190" s="430">
        <f>W160+X160</f>
        <v>0</v>
      </c>
      <c r="U190" s="431"/>
      <c r="V190" s="319"/>
      <c r="W190" s="168"/>
      <c r="X190" s="320"/>
      <c r="AE190" s="328"/>
      <c r="AF190" s="328"/>
    </row>
    <row r="191" spans="1:32" x14ac:dyDescent="0.3">
      <c r="A191" s="321" t="s">
        <v>314</v>
      </c>
      <c r="B191" s="425" t="s">
        <v>282</v>
      </c>
      <c r="C191" s="426"/>
      <c r="D191" s="426"/>
      <c r="E191" s="426"/>
      <c r="F191" s="426"/>
      <c r="G191" s="426"/>
      <c r="H191" s="426"/>
      <c r="I191" s="426"/>
      <c r="J191" s="426"/>
      <c r="K191" s="426"/>
      <c r="L191" s="426"/>
      <c r="M191" s="426"/>
      <c r="N191" s="426"/>
      <c r="O191" s="426"/>
      <c r="P191" s="426"/>
      <c r="Q191" s="426"/>
      <c r="R191" s="426"/>
      <c r="S191" s="427"/>
      <c r="T191" s="428">
        <f>SUM(T192:U194)</f>
        <v>0</v>
      </c>
      <c r="U191" s="429"/>
      <c r="V191" s="319"/>
      <c r="W191" s="168"/>
      <c r="X191" s="320"/>
      <c r="AE191" s="328"/>
      <c r="AF191" s="328"/>
    </row>
    <row r="192" spans="1:32" x14ac:dyDescent="0.3">
      <c r="A192" s="321"/>
      <c r="B192" s="326" t="s">
        <v>315</v>
      </c>
      <c r="C192" s="323" t="s">
        <v>316</v>
      </c>
      <c r="D192" s="323"/>
      <c r="E192" s="323"/>
      <c r="F192" s="323"/>
      <c r="G192" s="323"/>
      <c r="H192" s="323"/>
      <c r="I192" s="323"/>
      <c r="J192" s="323"/>
      <c r="K192" s="323"/>
      <c r="L192" s="323"/>
      <c r="M192" s="323"/>
      <c r="N192" s="323"/>
      <c r="O192" s="323"/>
      <c r="P192" s="323"/>
      <c r="Q192" s="323"/>
      <c r="R192" s="323"/>
      <c r="S192" s="221"/>
      <c r="T192" s="430">
        <f>W164+X164</f>
        <v>0</v>
      </c>
      <c r="U192" s="431"/>
      <c r="V192" s="319"/>
      <c r="W192" s="168"/>
      <c r="X192" s="320"/>
      <c r="AE192" s="328"/>
      <c r="AF192" s="328"/>
    </row>
    <row r="193" spans="1:32" x14ac:dyDescent="0.3">
      <c r="A193" s="321"/>
      <c r="B193" s="326" t="s">
        <v>317</v>
      </c>
      <c r="C193" s="323" t="s">
        <v>285</v>
      </c>
      <c r="D193" s="323"/>
      <c r="E193" s="323"/>
      <c r="F193" s="323"/>
      <c r="G193" s="323"/>
      <c r="H193" s="323"/>
      <c r="I193" s="323"/>
      <c r="J193" s="323"/>
      <c r="K193" s="323"/>
      <c r="L193" s="323"/>
      <c r="M193" s="323"/>
      <c r="N193" s="323"/>
      <c r="O193" s="323"/>
      <c r="P193" s="323"/>
      <c r="Q193" s="323"/>
      <c r="R193" s="323"/>
      <c r="S193" s="221"/>
      <c r="T193" s="430">
        <f>W167+X167</f>
        <v>0</v>
      </c>
      <c r="U193" s="431"/>
      <c r="V193" s="319"/>
      <c r="W193" s="168"/>
      <c r="X193" s="320"/>
      <c r="AE193" s="328"/>
      <c r="AF193" s="328"/>
    </row>
    <row r="194" spans="1:32" x14ac:dyDescent="0.3">
      <c r="A194" s="321"/>
      <c r="B194" s="326" t="s">
        <v>311</v>
      </c>
      <c r="C194" s="323" t="s">
        <v>318</v>
      </c>
      <c r="D194" s="323"/>
      <c r="E194" s="323"/>
      <c r="F194" s="323"/>
      <c r="G194" s="323"/>
      <c r="H194" s="323"/>
      <c r="I194" s="323"/>
      <c r="J194" s="323"/>
      <c r="K194" s="323"/>
      <c r="L194" s="323"/>
      <c r="M194" s="323"/>
      <c r="N194" s="323"/>
      <c r="O194" s="323"/>
      <c r="P194" s="323"/>
      <c r="Q194" s="323"/>
      <c r="R194" s="323"/>
      <c r="S194" s="221"/>
      <c r="T194" s="430">
        <f>W170+X170</f>
        <v>0</v>
      </c>
      <c r="U194" s="431"/>
      <c r="V194" s="319"/>
      <c r="W194" s="168"/>
      <c r="X194" s="320"/>
      <c r="AE194" s="328"/>
      <c r="AF194" s="328"/>
    </row>
    <row r="195" spans="1:32" x14ac:dyDescent="0.3">
      <c r="A195" s="432" t="s">
        <v>319</v>
      </c>
      <c r="B195" s="433"/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4"/>
      <c r="T195" s="435">
        <f>T176+T184+T185+T186+T191</f>
        <v>27936</v>
      </c>
      <c r="U195" s="436"/>
      <c r="V195" s="329"/>
      <c r="W195" s="173"/>
      <c r="X195" s="330"/>
      <c r="AE195" s="328"/>
      <c r="AF195" s="328"/>
    </row>
    <row r="196" spans="1:32" x14ac:dyDescent="0.3">
      <c r="A196" s="416" t="s">
        <v>320</v>
      </c>
      <c r="B196" s="417"/>
      <c r="C196" s="417"/>
      <c r="D196" s="417"/>
      <c r="E196" s="417"/>
      <c r="F196" s="417"/>
      <c r="G196" s="417"/>
      <c r="H196" s="417"/>
      <c r="I196" s="417"/>
      <c r="J196" s="417"/>
      <c r="K196" s="417"/>
      <c r="L196" s="417"/>
      <c r="M196" s="417"/>
      <c r="N196" s="417"/>
      <c r="O196" s="417"/>
      <c r="P196" s="417"/>
      <c r="Q196" s="417"/>
      <c r="R196" s="417"/>
      <c r="S196" s="417"/>
      <c r="T196" s="417"/>
      <c r="U196" s="417"/>
      <c r="V196" s="417"/>
      <c r="W196" s="417"/>
      <c r="X196" s="418"/>
      <c r="Z196" s="331"/>
      <c r="AE196" s="332"/>
      <c r="AF196" s="340"/>
    </row>
    <row r="197" spans="1:32" x14ac:dyDescent="0.3">
      <c r="A197" s="411" t="s">
        <v>321</v>
      </c>
      <c r="B197" s="419"/>
      <c r="C197" s="419"/>
      <c r="D197" s="419"/>
      <c r="E197" s="419"/>
      <c r="F197" s="419"/>
      <c r="G197" s="419"/>
      <c r="H197" s="419"/>
      <c r="I197" s="420"/>
      <c r="J197" s="421">
        <f>W171</f>
        <v>1383455.3641113702</v>
      </c>
      <c r="K197" s="422"/>
      <c r="L197" s="422"/>
      <c r="M197" s="422"/>
      <c r="N197" s="422"/>
      <c r="O197" s="423"/>
      <c r="P197" s="214"/>
      <c r="Q197" s="193"/>
      <c r="R197" s="193"/>
      <c r="S197" s="424" t="s">
        <v>322</v>
      </c>
      <c r="T197" s="424"/>
      <c r="U197" s="424"/>
      <c r="V197" s="333"/>
      <c r="W197" s="334"/>
      <c r="X197" s="335"/>
      <c r="AE197" s="328"/>
      <c r="AF197" s="328"/>
    </row>
    <row r="198" spans="1:32" x14ac:dyDescent="0.3">
      <c r="A198" s="411" t="s">
        <v>323</v>
      </c>
      <c r="B198" s="400"/>
      <c r="C198" s="400"/>
      <c r="D198" s="400"/>
      <c r="E198" s="400"/>
      <c r="F198" s="400"/>
      <c r="G198" s="400"/>
      <c r="H198" s="400"/>
      <c r="I198" s="401"/>
      <c r="J198" s="402">
        <f>X171</f>
        <v>983540.38791732141</v>
      </c>
      <c r="K198" s="403"/>
      <c r="L198" s="403"/>
      <c r="M198" s="403"/>
      <c r="N198" s="403"/>
      <c r="O198" s="404"/>
      <c r="P198" s="336"/>
      <c r="S198" s="412" t="s">
        <v>324</v>
      </c>
      <c r="T198" s="412"/>
      <c r="W198" s="337"/>
      <c r="X198" s="338"/>
      <c r="AE198" s="328"/>
      <c r="AF198" s="328"/>
    </row>
    <row r="199" spans="1:32" x14ac:dyDescent="0.3">
      <c r="A199" s="411" t="s">
        <v>325</v>
      </c>
      <c r="B199" s="400"/>
      <c r="C199" s="400"/>
      <c r="D199" s="400"/>
      <c r="E199" s="400"/>
      <c r="F199" s="400"/>
      <c r="G199" s="400"/>
      <c r="H199" s="400"/>
      <c r="I199" s="401"/>
      <c r="J199" s="402">
        <f>J197+J198</f>
        <v>2366995.7520286916</v>
      </c>
      <c r="K199" s="403"/>
      <c r="L199" s="403"/>
      <c r="M199" s="403"/>
      <c r="N199" s="403"/>
      <c r="O199" s="404"/>
      <c r="P199" s="336"/>
      <c r="S199" s="412" t="s">
        <v>326</v>
      </c>
      <c r="T199" s="412"/>
      <c r="U199" s="412"/>
      <c r="W199" s="337"/>
      <c r="X199" s="339"/>
      <c r="AE199" s="328"/>
      <c r="AF199" s="328"/>
    </row>
    <row r="200" spans="1:32" x14ac:dyDescent="0.3">
      <c r="A200" s="413" t="s">
        <v>327</v>
      </c>
      <c r="B200" s="414"/>
      <c r="C200" s="414"/>
      <c r="D200" s="414"/>
      <c r="E200" s="414"/>
      <c r="F200" s="414"/>
      <c r="G200" s="414"/>
      <c r="H200" s="414"/>
      <c r="I200" s="415"/>
      <c r="J200" s="402">
        <f>T174</f>
        <v>667000</v>
      </c>
      <c r="K200" s="403"/>
      <c r="L200" s="403"/>
      <c r="M200" s="403"/>
      <c r="N200" s="403"/>
      <c r="O200" s="404"/>
      <c r="P200" s="336"/>
      <c r="S200" s="412" t="s">
        <v>328</v>
      </c>
      <c r="T200" s="412"/>
      <c r="U200" s="412"/>
      <c r="W200" s="337"/>
      <c r="X200" s="339"/>
      <c r="AE200" s="328"/>
      <c r="AF200" s="328"/>
    </row>
    <row r="201" spans="1:32" x14ac:dyDescent="0.3">
      <c r="A201" s="411" t="s">
        <v>329</v>
      </c>
      <c r="B201" s="400"/>
      <c r="C201" s="400"/>
      <c r="D201" s="400"/>
      <c r="E201" s="400"/>
      <c r="F201" s="400"/>
      <c r="G201" s="400"/>
      <c r="H201" s="400"/>
      <c r="I201" s="401"/>
      <c r="J201" s="402">
        <f>T175</f>
        <v>281750</v>
      </c>
      <c r="K201" s="403"/>
      <c r="L201" s="403"/>
      <c r="M201" s="403"/>
      <c r="N201" s="403"/>
      <c r="O201" s="404"/>
      <c r="P201" s="336"/>
      <c r="W201" s="337"/>
      <c r="X201" s="339"/>
      <c r="AE201" s="328"/>
      <c r="AF201" s="328"/>
    </row>
    <row r="202" spans="1:32" x14ac:dyDescent="0.3">
      <c r="A202" s="411" t="s">
        <v>330</v>
      </c>
      <c r="B202" s="400"/>
      <c r="C202" s="400"/>
      <c r="D202" s="400"/>
      <c r="E202" s="400"/>
      <c r="F202" s="400"/>
      <c r="G202" s="400"/>
      <c r="H202" s="400"/>
      <c r="I202" s="401"/>
      <c r="J202" s="402">
        <f>(J199+J200+J201)*12%</f>
        <v>397889.490243443</v>
      </c>
      <c r="K202" s="403"/>
      <c r="L202" s="403"/>
      <c r="M202" s="403"/>
      <c r="N202" s="403"/>
      <c r="O202" s="404"/>
      <c r="P202" s="336"/>
      <c r="S202" s="95"/>
      <c r="T202" s="95"/>
      <c r="U202" s="95"/>
      <c r="V202" s="95"/>
      <c r="W202" s="95"/>
      <c r="X202" s="338"/>
      <c r="AE202" s="328"/>
      <c r="AF202" s="328"/>
    </row>
    <row r="203" spans="1:32" x14ac:dyDescent="0.3">
      <c r="A203" s="341"/>
      <c r="B203" s="400" t="s">
        <v>331</v>
      </c>
      <c r="C203" s="400"/>
      <c r="D203" s="400"/>
      <c r="E203" s="400"/>
      <c r="F203" s="400"/>
      <c r="G203" s="400"/>
      <c r="H203" s="400"/>
      <c r="I203" s="401"/>
      <c r="J203" s="402">
        <f>(J199+J200+J201)*5%</f>
        <v>165787.2876014346</v>
      </c>
      <c r="K203" s="403"/>
      <c r="L203" s="403"/>
      <c r="M203" s="403"/>
      <c r="N203" s="403"/>
      <c r="O203" s="404"/>
      <c r="P203" s="336"/>
      <c r="S203" s="95"/>
      <c r="T203" s="95"/>
      <c r="U203" s="95"/>
      <c r="V203" s="95"/>
      <c r="W203" s="95"/>
      <c r="X203" s="338"/>
      <c r="AE203" s="328"/>
      <c r="AF203" s="328"/>
    </row>
    <row r="204" spans="1:32" x14ac:dyDescent="0.3">
      <c r="A204" s="341"/>
      <c r="B204" s="400" t="s">
        <v>332</v>
      </c>
      <c r="C204" s="400"/>
      <c r="D204" s="400"/>
      <c r="E204" s="400"/>
      <c r="F204" s="400"/>
      <c r="G204" s="400"/>
      <c r="H204" s="400"/>
      <c r="I204" s="401"/>
      <c r="J204" s="402">
        <f>(J199+J200+J201+J202)*12%</f>
        <v>445636.22907265613</v>
      </c>
      <c r="K204" s="403"/>
      <c r="L204" s="403"/>
      <c r="M204" s="403"/>
      <c r="N204" s="403"/>
      <c r="O204" s="404"/>
      <c r="P204" s="336"/>
      <c r="S204" s="95"/>
      <c r="T204" s="95"/>
      <c r="U204" s="95"/>
      <c r="V204" s="95"/>
      <c r="W204" s="95"/>
      <c r="X204" s="338"/>
      <c r="AE204" s="328"/>
      <c r="AF204" s="328"/>
    </row>
    <row r="205" spans="1:32" x14ac:dyDescent="0.3">
      <c r="A205" s="405" t="s">
        <v>333</v>
      </c>
      <c r="B205" s="406"/>
      <c r="C205" s="406"/>
      <c r="D205" s="406"/>
      <c r="E205" s="406"/>
      <c r="F205" s="406"/>
      <c r="G205" s="406"/>
      <c r="H205" s="406"/>
      <c r="I205" s="407"/>
      <c r="J205" s="408">
        <f>J199+J200+J201+J202+J203+J204</f>
        <v>4325058.758946225</v>
      </c>
      <c r="K205" s="409"/>
      <c r="L205" s="409"/>
      <c r="M205" s="409"/>
      <c r="N205" s="409"/>
      <c r="O205" s="410"/>
      <c r="P205" s="342"/>
      <c r="Q205" s="343"/>
      <c r="R205" s="343"/>
      <c r="S205" s="344"/>
      <c r="T205" s="92"/>
      <c r="U205" s="345"/>
      <c r="V205" s="346"/>
      <c r="W205" s="346"/>
      <c r="X205" s="347"/>
      <c r="AE205" s="328"/>
      <c r="AF205" s="328"/>
    </row>
    <row r="206" spans="1:32" x14ac:dyDescent="0.3">
      <c r="AE206" s="328"/>
      <c r="AF206" s="328"/>
    </row>
    <row r="207" spans="1:32" x14ac:dyDescent="0.3">
      <c r="A207" s="348" t="s">
        <v>334</v>
      </c>
      <c r="AE207" s="328"/>
      <c r="AF207" s="328"/>
    </row>
    <row r="208" spans="1:32" x14ac:dyDescent="0.3">
      <c r="U208" s="349" t="s">
        <v>335</v>
      </c>
      <c r="AE208" s="328"/>
      <c r="AF208" s="328"/>
    </row>
    <row r="209" spans="3:32" x14ac:dyDescent="0.3">
      <c r="AE209" s="264"/>
      <c r="AF209" s="332"/>
    </row>
    <row r="210" spans="3:32" ht="15.6" x14ac:dyDescent="0.3">
      <c r="C210" s="96" t="s">
        <v>400</v>
      </c>
      <c r="U210" s="398" t="s">
        <v>336</v>
      </c>
      <c r="V210" s="398"/>
      <c r="W210" s="398"/>
    </row>
    <row r="211" spans="3:32" x14ac:dyDescent="0.3">
      <c r="C211" s="350" t="s">
        <v>337</v>
      </c>
      <c r="D211" s="350"/>
      <c r="U211" s="399"/>
      <c r="V211" s="399"/>
      <c r="W211" s="399"/>
    </row>
    <row r="212" spans="3:32" x14ac:dyDescent="0.3">
      <c r="U212" s="351"/>
      <c r="V212" s="351"/>
      <c r="W212" s="351"/>
    </row>
    <row r="214" spans="3:32" x14ac:dyDescent="0.3">
      <c r="V214" s="352"/>
    </row>
    <row r="225" spans="2:32" ht="14.25" customHeight="1" x14ac:dyDescent="0.3"/>
    <row r="226" spans="2:32" ht="14.25" customHeight="1" x14ac:dyDescent="0.3"/>
    <row r="227" spans="2:32" ht="14.25" customHeight="1" x14ac:dyDescent="0.3"/>
    <row r="228" spans="2:32" ht="14.25" customHeight="1" x14ac:dyDescent="0.3"/>
    <row r="229" spans="2:32" ht="14.25" customHeight="1" x14ac:dyDescent="0.3"/>
    <row r="230" spans="2:32" ht="14.25" customHeight="1" x14ac:dyDescent="0.3"/>
    <row r="231" spans="2:32" ht="14.25" customHeight="1" x14ac:dyDescent="0.3"/>
    <row r="232" spans="2:32" ht="14.25" customHeight="1" x14ac:dyDescent="0.3"/>
    <row r="233" spans="2:32" ht="14.25" customHeight="1" x14ac:dyDescent="0.3"/>
    <row r="234" spans="2:32" ht="14.25" customHeight="1" x14ac:dyDescent="0.3"/>
    <row r="235" spans="2:32" ht="14.25" customHeight="1" x14ac:dyDescent="0.3"/>
    <row r="236" spans="2:32" s="101" customFormat="1" ht="14.25" customHeight="1" x14ac:dyDescent="0.3">
      <c r="B236" s="102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103"/>
      <c r="U236" s="93"/>
      <c r="V236" s="94"/>
      <c r="W236" s="94"/>
      <c r="X236" s="94"/>
      <c r="Y236" s="95"/>
      <c r="Z236" s="96"/>
      <c r="AA236" s="96"/>
      <c r="AB236" s="96"/>
      <c r="AC236" s="96"/>
      <c r="AD236" s="95"/>
      <c r="AE236" s="95"/>
      <c r="AF236" s="95"/>
    </row>
    <row r="237" spans="2:32" s="101" customFormat="1" ht="14.25" customHeight="1" x14ac:dyDescent="0.3">
      <c r="B237" s="102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103"/>
      <c r="U237" s="93"/>
      <c r="V237" s="94"/>
      <c r="W237" s="94"/>
      <c r="X237" s="94"/>
      <c r="Y237" s="95"/>
      <c r="Z237" s="96"/>
      <c r="AA237" s="96"/>
      <c r="AB237" s="96"/>
      <c r="AC237" s="96"/>
      <c r="AD237" s="95"/>
      <c r="AE237" s="95"/>
      <c r="AF237" s="95"/>
    </row>
    <row r="238" spans="2:32" s="101" customFormat="1" ht="14.25" customHeight="1" x14ac:dyDescent="0.3">
      <c r="B238" s="102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103"/>
      <c r="U238" s="93"/>
      <c r="V238" s="94"/>
      <c r="W238" s="94"/>
      <c r="X238" s="94"/>
      <c r="Y238" s="95"/>
      <c r="Z238" s="96"/>
      <c r="AA238" s="96"/>
      <c r="AB238" s="96"/>
      <c r="AC238" s="96"/>
      <c r="AD238" s="95"/>
      <c r="AE238" s="95"/>
      <c r="AF238" s="95"/>
    </row>
    <row r="239" spans="2:32" s="101" customFormat="1" ht="14.25" customHeight="1" x14ac:dyDescent="0.3">
      <c r="B239" s="102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103"/>
      <c r="U239" s="93"/>
      <c r="V239" s="94"/>
      <c r="W239" s="94"/>
      <c r="X239" s="94"/>
      <c r="Y239" s="95"/>
      <c r="Z239" s="96"/>
      <c r="AA239" s="96"/>
      <c r="AB239" s="96"/>
      <c r="AC239" s="96"/>
      <c r="AD239" s="95"/>
      <c r="AE239" s="95"/>
      <c r="AF239" s="95"/>
    </row>
    <row r="240" spans="2:32" s="101" customFormat="1" ht="14.25" customHeight="1" x14ac:dyDescent="0.3">
      <c r="B240" s="102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103"/>
      <c r="U240" s="93"/>
      <c r="V240" s="94"/>
      <c r="W240" s="94"/>
      <c r="X240" s="94"/>
      <c r="Y240" s="95"/>
      <c r="Z240" s="96"/>
      <c r="AA240" s="96"/>
      <c r="AB240" s="96"/>
      <c r="AC240" s="96"/>
      <c r="AD240" s="95"/>
      <c r="AE240" s="95"/>
      <c r="AF240" s="95"/>
    </row>
    <row r="241" spans="2:32" s="101" customFormat="1" ht="14.25" customHeight="1" x14ac:dyDescent="0.3">
      <c r="B241" s="102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103"/>
      <c r="U241" s="93"/>
      <c r="V241" s="94"/>
      <c r="W241" s="94"/>
      <c r="X241" s="94"/>
      <c r="Y241" s="95"/>
      <c r="Z241" s="96"/>
      <c r="AA241" s="96"/>
      <c r="AB241" s="96"/>
      <c r="AC241" s="96"/>
      <c r="AD241" s="95"/>
      <c r="AE241" s="95"/>
      <c r="AF241" s="95"/>
    </row>
    <row r="242" spans="2:32" s="101" customFormat="1" ht="14.25" customHeight="1" x14ac:dyDescent="0.3">
      <c r="B242" s="102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103"/>
      <c r="U242" s="93"/>
      <c r="V242" s="94"/>
      <c r="W242" s="94"/>
      <c r="X242" s="94"/>
      <c r="Y242" s="95"/>
      <c r="Z242" s="96"/>
      <c r="AA242" s="96"/>
      <c r="AB242" s="96"/>
      <c r="AC242" s="96"/>
      <c r="AD242" s="95"/>
      <c r="AE242" s="95"/>
      <c r="AF242" s="95"/>
    </row>
    <row r="243" spans="2:32" s="101" customFormat="1" ht="14.25" customHeight="1" x14ac:dyDescent="0.3">
      <c r="B243" s="102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103"/>
      <c r="U243" s="93"/>
      <c r="V243" s="94"/>
      <c r="W243" s="94"/>
      <c r="X243" s="94"/>
      <c r="Y243" s="95"/>
      <c r="Z243" s="96"/>
      <c r="AA243" s="96"/>
      <c r="AB243" s="96"/>
      <c r="AC243" s="96"/>
      <c r="AD243" s="95"/>
      <c r="AE243" s="95"/>
      <c r="AF243" s="95"/>
    </row>
    <row r="244" spans="2:32" s="101" customFormat="1" ht="14.25" customHeight="1" x14ac:dyDescent="0.3">
      <c r="B244" s="102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103"/>
      <c r="U244" s="93"/>
      <c r="V244" s="94"/>
      <c r="W244" s="94"/>
      <c r="X244" s="94"/>
      <c r="Y244" s="95"/>
      <c r="Z244" s="96"/>
      <c r="AA244" s="96"/>
      <c r="AB244" s="96"/>
      <c r="AC244" s="96"/>
      <c r="AD244" s="95"/>
      <c r="AE244" s="95"/>
      <c r="AF244" s="95"/>
    </row>
    <row r="245" spans="2:32" s="101" customFormat="1" ht="14.25" customHeight="1" x14ac:dyDescent="0.3">
      <c r="B245" s="102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103"/>
      <c r="U245" s="93"/>
      <c r="V245" s="94"/>
      <c r="W245" s="94"/>
      <c r="X245" s="94"/>
      <c r="Y245" s="95"/>
      <c r="Z245" s="96"/>
      <c r="AA245" s="96"/>
      <c r="AB245" s="96"/>
      <c r="AC245" s="96"/>
      <c r="AD245" s="95"/>
      <c r="AE245" s="95"/>
      <c r="AF245" s="95"/>
    </row>
    <row r="246" spans="2:32" s="101" customFormat="1" ht="14.25" customHeight="1" x14ac:dyDescent="0.3">
      <c r="B246" s="102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103"/>
      <c r="U246" s="93"/>
      <c r="V246" s="94"/>
      <c r="W246" s="94"/>
      <c r="X246" s="94"/>
      <c r="Y246" s="95"/>
      <c r="Z246" s="96"/>
      <c r="AA246" s="96"/>
      <c r="AB246" s="96"/>
      <c r="AC246" s="96"/>
      <c r="AD246" s="95"/>
      <c r="AE246" s="95"/>
      <c r="AF246" s="95"/>
    </row>
    <row r="247" spans="2:32" s="101" customFormat="1" ht="14.25" customHeight="1" x14ac:dyDescent="0.3">
      <c r="B247" s="102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103"/>
      <c r="U247" s="93"/>
      <c r="V247" s="94"/>
      <c r="W247" s="94"/>
      <c r="X247" s="94"/>
      <c r="Y247" s="95"/>
      <c r="Z247" s="96"/>
      <c r="AA247" s="96"/>
      <c r="AB247" s="96"/>
      <c r="AC247" s="96"/>
      <c r="AD247" s="95"/>
      <c r="AE247" s="95"/>
      <c r="AF247" s="95"/>
    </row>
    <row r="248" spans="2:32" s="101" customFormat="1" ht="14.25" customHeight="1" x14ac:dyDescent="0.3">
      <c r="B248" s="102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103"/>
      <c r="U248" s="93"/>
      <c r="V248" s="94"/>
      <c r="W248" s="94"/>
      <c r="X248" s="94"/>
      <c r="Y248" s="95"/>
      <c r="Z248" s="96"/>
      <c r="AA248" s="96"/>
      <c r="AB248" s="96"/>
      <c r="AC248" s="96"/>
      <c r="AD248" s="95"/>
      <c r="AE248" s="95"/>
      <c r="AF248" s="95"/>
    </row>
    <row r="249" spans="2:32" s="101" customFormat="1" ht="14.25" customHeight="1" x14ac:dyDescent="0.3">
      <c r="B249" s="102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103"/>
      <c r="U249" s="93"/>
      <c r="V249" s="94"/>
      <c r="W249" s="94"/>
      <c r="X249" s="94"/>
      <c r="Y249" s="95"/>
      <c r="Z249" s="96"/>
      <c r="AA249" s="96"/>
      <c r="AB249" s="96"/>
      <c r="AC249" s="96"/>
      <c r="AD249" s="95"/>
      <c r="AE249" s="95"/>
      <c r="AF249" s="95"/>
    </row>
    <row r="250" spans="2:32" s="101" customFormat="1" ht="14.25" customHeight="1" x14ac:dyDescent="0.3">
      <c r="B250" s="102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103"/>
      <c r="U250" s="93"/>
      <c r="V250" s="94"/>
      <c r="W250" s="94"/>
      <c r="X250" s="94"/>
      <c r="Y250" s="95"/>
      <c r="Z250" s="96"/>
      <c r="AA250" s="96"/>
      <c r="AB250" s="96"/>
      <c r="AC250" s="96"/>
      <c r="AD250" s="95"/>
      <c r="AE250" s="95"/>
      <c r="AF250" s="95"/>
    </row>
    <row r="251" spans="2:32" s="101" customFormat="1" ht="14.25" customHeight="1" x14ac:dyDescent="0.3">
      <c r="B251" s="102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103"/>
      <c r="U251" s="93"/>
      <c r="V251" s="94"/>
      <c r="W251" s="94"/>
      <c r="X251" s="94"/>
      <c r="Y251" s="95"/>
      <c r="Z251" s="96"/>
      <c r="AA251" s="96"/>
      <c r="AB251" s="96"/>
      <c r="AC251" s="96"/>
      <c r="AD251" s="95"/>
      <c r="AE251" s="95"/>
      <c r="AF251" s="95"/>
    </row>
    <row r="252" spans="2:32" s="101" customFormat="1" ht="14.25" customHeight="1" x14ac:dyDescent="0.3">
      <c r="B252" s="102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103"/>
      <c r="U252" s="93"/>
      <c r="V252" s="94"/>
      <c r="W252" s="94"/>
      <c r="X252" s="94"/>
      <c r="Y252" s="95"/>
      <c r="Z252" s="96"/>
      <c r="AA252" s="96"/>
      <c r="AB252" s="96"/>
      <c r="AC252" s="96"/>
      <c r="AD252" s="95"/>
      <c r="AE252" s="95"/>
      <c r="AF252" s="95"/>
    </row>
    <row r="253" spans="2:32" s="101" customFormat="1" ht="14.25" customHeight="1" x14ac:dyDescent="0.3">
      <c r="B253" s="102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103"/>
      <c r="U253" s="93"/>
      <c r="V253" s="94"/>
      <c r="W253" s="94"/>
      <c r="X253" s="94"/>
      <c r="Y253" s="95"/>
      <c r="Z253" s="96"/>
      <c r="AA253" s="96"/>
      <c r="AB253" s="96"/>
      <c r="AC253" s="96"/>
      <c r="AD253" s="95"/>
      <c r="AE253" s="95"/>
      <c r="AF253" s="95"/>
    </row>
    <row r="254" spans="2:32" s="101" customFormat="1" ht="14.25" customHeight="1" x14ac:dyDescent="0.3">
      <c r="B254" s="102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103"/>
      <c r="U254" s="93"/>
      <c r="V254" s="94"/>
      <c r="W254" s="94"/>
      <c r="X254" s="94"/>
      <c r="Y254" s="95"/>
      <c r="Z254" s="96"/>
      <c r="AA254" s="96"/>
      <c r="AB254" s="96"/>
      <c r="AC254" s="96"/>
      <c r="AD254" s="95"/>
      <c r="AE254" s="95"/>
      <c r="AF254" s="95"/>
    </row>
    <row r="255" spans="2:32" s="101" customFormat="1" ht="14.25" customHeight="1" x14ac:dyDescent="0.3">
      <c r="B255" s="102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103"/>
      <c r="U255" s="93"/>
      <c r="V255" s="94"/>
      <c r="W255" s="94"/>
      <c r="X255" s="94"/>
      <c r="Y255" s="95"/>
      <c r="Z255" s="96"/>
      <c r="AA255" s="96"/>
      <c r="AB255" s="96"/>
      <c r="AC255" s="96"/>
      <c r="AD255" s="95"/>
      <c r="AE255" s="95"/>
      <c r="AF255" s="95"/>
    </row>
    <row r="256" spans="2:32" s="101" customFormat="1" ht="14.25" customHeight="1" x14ac:dyDescent="0.3">
      <c r="B256" s="102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103"/>
      <c r="U256" s="93"/>
      <c r="V256" s="94"/>
      <c r="W256" s="94"/>
      <c r="X256" s="94"/>
      <c r="Y256" s="95"/>
      <c r="Z256" s="96"/>
      <c r="AA256" s="96"/>
      <c r="AB256" s="96"/>
      <c r="AC256" s="96"/>
      <c r="AD256" s="95"/>
      <c r="AE256" s="95"/>
      <c r="AF256" s="95"/>
    </row>
    <row r="257" spans="2:32" s="101" customFormat="1" ht="14.25" customHeight="1" x14ac:dyDescent="0.3">
      <c r="B257" s="102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103"/>
      <c r="U257" s="93"/>
      <c r="V257" s="94"/>
      <c r="W257" s="94"/>
      <c r="X257" s="94"/>
      <c r="Y257" s="95"/>
      <c r="Z257" s="96"/>
      <c r="AA257" s="96"/>
      <c r="AB257" s="96"/>
      <c r="AC257" s="96"/>
      <c r="AD257" s="95"/>
      <c r="AE257" s="95"/>
      <c r="AF257" s="95"/>
    </row>
    <row r="258" spans="2:32" s="101" customFormat="1" ht="14.25" customHeight="1" x14ac:dyDescent="0.3">
      <c r="B258" s="102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103"/>
      <c r="U258" s="93"/>
      <c r="V258" s="94"/>
      <c r="W258" s="94"/>
      <c r="X258" s="94"/>
      <c r="Y258" s="95"/>
      <c r="Z258" s="96"/>
      <c r="AA258" s="96"/>
      <c r="AB258" s="96"/>
      <c r="AC258" s="96"/>
      <c r="AD258" s="95"/>
      <c r="AE258" s="95"/>
      <c r="AF258" s="95"/>
    </row>
    <row r="259" spans="2:32" s="101" customFormat="1" ht="14.25" customHeight="1" x14ac:dyDescent="0.3">
      <c r="B259" s="102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103"/>
      <c r="U259" s="93"/>
      <c r="V259" s="94"/>
      <c r="W259" s="94"/>
      <c r="X259" s="94"/>
      <c r="Y259" s="95"/>
      <c r="Z259" s="96"/>
      <c r="AA259" s="96"/>
      <c r="AB259" s="96"/>
      <c r="AC259" s="96"/>
      <c r="AD259" s="95"/>
      <c r="AE259" s="95"/>
      <c r="AF259" s="95"/>
    </row>
    <row r="260" spans="2:32" s="101" customFormat="1" ht="14.25" customHeight="1" x14ac:dyDescent="0.3">
      <c r="B260" s="102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103"/>
      <c r="U260" s="93"/>
      <c r="V260" s="94"/>
      <c r="W260" s="94"/>
      <c r="X260" s="94"/>
      <c r="Y260" s="95"/>
      <c r="Z260" s="96"/>
      <c r="AA260" s="96"/>
      <c r="AB260" s="96"/>
      <c r="AC260" s="96"/>
      <c r="AD260" s="95"/>
      <c r="AE260" s="95"/>
      <c r="AF260" s="95"/>
    </row>
    <row r="261" spans="2:32" s="101" customFormat="1" ht="14.25" customHeight="1" x14ac:dyDescent="0.3">
      <c r="B261" s="102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103"/>
      <c r="U261" s="93"/>
      <c r="V261" s="94"/>
      <c r="W261" s="94"/>
      <c r="X261" s="94"/>
      <c r="Y261" s="95"/>
      <c r="Z261" s="96"/>
      <c r="AA261" s="96"/>
      <c r="AB261" s="96"/>
      <c r="AC261" s="96"/>
      <c r="AD261" s="95"/>
      <c r="AE261" s="95"/>
      <c r="AF261" s="95"/>
    </row>
    <row r="262" spans="2:32" s="101" customFormat="1" ht="14.25" customHeight="1" x14ac:dyDescent="0.3">
      <c r="B262" s="102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103"/>
      <c r="U262" s="93"/>
      <c r="V262" s="94"/>
      <c r="W262" s="94"/>
      <c r="X262" s="94"/>
      <c r="Y262" s="95"/>
      <c r="Z262" s="96"/>
      <c r="AA262" s="96"/>
      <c r="AB262" s="96"/>
      <c r="AC262" s="96"/>
      <c r="AD262" s="95"/>
      <c r="AE262" s="95"/>
      <c r="AF262" s="95"/>
    </row>
    <row r="263" spans="2:32" s="101" customFormat="1" ht="14.25" customHeight="1" x14ac:dyDescent="0.3">
      <c r="B263" s="102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103"/>
      <c r="U263" s="93"/>
      <c r="V263" s="94"/>
      <c r="W263" s="94"/>
      <c r="X263" s="94"/>
      <c r="Y263" s="95"/>
      <c r="Z263" s="96"/>
      <c r="AA263" s="96"/>
      <c r="AB263" s="96"/>
      <c r="AC263" s="96"/>
      <c r="AD263" s="95"/>
      <c r="AE263" s="95"/>
      <c r="AF263" s="95"/>
    </row>
    <row r="264" spans="2:32" s="101" customFormat="1" ht="14.25" customHeight="1" x14ac:dyDescent="0.3">
      <c r="B264" s="102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103"/>
      <c r="U264" s="93"/>
      <c r="V264" s="94"/>
      <c r="W264" s="94"/>
      <c r="X264" s="94"/>
      <c r="Y264" s="95"/>
      <c r="Z264" s="96"/>
      <c r="AA264" s="96"/>
      <c r="AB264" s="96"/>
      <c r="AC264" s="96"/>
      <c r="AD264" s="95"/>
      <c r="AE264" s="95"/>
      <c r="AF264" s="95"/>
    </row>
    <row r="265" spans="2:32" s="101" customFormat="1" ht="14.25" customHeight="1" x14ac:dyDescent="0.3">
      <c r="B265" s="102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103"/>
      <c r="U265" s="93"/>
      <c r="V265" s="94"/>
      <c r="W265" s="94"/>
      <c r="X265" s="94"/>
      <c r="Y265" s="95"/>
      <c r="Z265" s="96"/>
      <c r="AA265" s="96"/>
      <c r="AB265" s="96"/>
      <c r="AC265" s="96"/>
      <c r="AD265" s="95"/>
      <c r="AE265" s="95"/>
      <c r="AF265" s="95"/>
    </row>
    <row r="266" spans="2:32" s="101" customFormat="1" ht="14.25" customHeight="1" x14ac:dyDescent="0.3">
      <c r="B266" s="102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103"/>
      <c r="U266" s="93"/>
      <c r="V266" s="94"/>
      <c r="W266" s="94"/>
      <c r="X266" s="94"/>
      <c r="Y266" s="95"/>
      <c r="Z266" s="96"/>
      <c r="AA266" s="96"/>
      <c r="AB266" s="96"/>
      <c r="AC266" s="96"/>
      <c r="AD266" s="95"/>
      <c r="AE266" s="95"/>
      <c r="AF266" s="95"/>
    </row>
    <row r="267" spans="2:32" s="101" customFormat="1" ht="14.25" customHeight="1" x14ac:dyDescent="0.3">
      <c r="B267" s="102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103"/>
      <c r="U267" s="93"/>
      <c r="V267" s="94"/>
      <c r="W267" s="94"/>
      <c r="X267" s="94"/>
      <c r="Y267" s="95"/>
      <c r="Z267" s="96"/>
      <c r="AA267" s="96"/>
      <c r="AB267" s="96"/>
      <c r="AC267" s="96"/>
      <c r="AD267" s="95"/>
      <c r="AE267" s="95"/>
      <c r="AF267" s="95"/>
    </row>
    <row r="268" spans="2:32" s="101" customFormat="1" ht="14.25" customHeight="1" x14ac:dyDescent="0.3">
      <c r="B268" s="102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103"/>
      <c r="U268" s="93"/>
      <c r="V268" s="94"/>
      <c r="W268" s="94"/>
      <c r="X268" s="94"/>
      <c r="Y268" s="95"/>
      <c r="Z268" s="96"/>
      <c r="AA268" s="96"/>
      <c r="AB268" s="96"/>
      <c r="AC268" s="96"/>
      <c r="AD268" s="95"/>
      <c r="AE268" s="95"/>
      <c r="AF268" s="95"/>
    </row>
    <row r="269" spans="2:32" s="101" customFormat="1" ht="14.25" customHeight="1" x14ac:dyDescent="0.3">
      <c r="B269" s="102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103"/>
      <c r="U269" s="93"/>
      <c r="V269" s="94"/>
      <c r="W269" s="94"/>
      <c r="X269" s="94"/>
      <c r="Y269" s="95"/>
      <c r="Z269" s="96"/>
      <c r="AA269" s="96"/>
      <c r="AB269" s="96"/>
      <c r="AC269" s="96"/>
      <c r="AD269" s="95"/>
      <c r="AE269" s="95"/>
      <c r="AF269" s="95"/>
    </row>
    <row r="270" spans="2:32" s="101" customFormat="1" ht="14.25" customHeight="1" x14ac:dyDescent="0.3">
      <c r="B270" s="102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103"/>
      <c r="U270" s="93"/>
      <c r="V270" s="94"/>
      <c r="W270" s="94"/>
      <c r="X270" s="94"/>
      <c r="Y270" s="95"/>
      <c r="Z270" s="96"/>
      <c r="AA270" s="96"/>
      <c r="AB270" s="96"/>
      <c r="AC270" s="96"/>
      <c r="AD270" s="95"/>
      <c r="AE270" s="95"/>
      <c r="AF270" s="95"/>
    </row>
    <row r="271" spans="2:32" s="101" customFormat="1" ht="14.25" customHeight="1" x14ac:dyDescent="0.3">
      <c r="B271" s="102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103"/>
      <c r="U271" s="93"/>
      <c r="V271" s="94"/>
      <c r="W271" s="94"/>
      <c r="X271" s="94"/>
      <c r="Y271" s="95"/>
      <c r="Z271" s="96"/>
      <c r="AA271" s="96"/>
      <c r="AB271" s="96"/>
      <c r="AC271" s="96"/>
      <c r="AD271" s="95"/>
      <c r="AE271" s="95"/>
      <c r="AF271" s="95"/>
    </row>
    <row r="272" spans="2:32" s="101" customFormat="1" ht="14.25" customHeight="1" x14ac:dyDescent="0.3">
      <c r="B272" s="102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103"/>
      <c r="U272" s="93"/>
      <c r="V272" s="94"/>
      <c r="W272" s="94"/>
      <c r="X272" s="94"/>
      <c r="Y272" s="95"/>
      <c r="Z272" s="96"/>
      <c r="AA272" s="96"/>
      <c r="AB272" s="96"/>
      <c r="AC272" s="96"/>
      <c r="AD272" s="95"/>
      <c r="AE272" s="95"/>
      <c r="AF272" s="95"/>
    </row>
    <row r="273" spans="2:32" s="101" customFormat="1" ht="14.25" customHeight="1" x14ac:dyDescent="0.3">
      <c r="B273" s="102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103"/>
      <c r="U273" s="93"/>
      <c r="V273" s="94"/>
      <c r="W273" s="94"/>
      <c r="X273" s="94"/>
      <c r="Y273" s="95"/>
      <c r="Z273" s="96"/>
      <c r="AA273" s="96"/>
      <c r="AB273" s="96"/>
      <c r="AC273" s="96"/>
      <c r="AD273" s="95"/>
      <c r="AE273" s="95"/>
      <c r="AF273" s="95"/>
    </row>
    <row r="274" spans="2:32" s="101" customFormat="1" ht="14.25" customHeight="1" x14ac:dyDescent="0.3">
      <c r="B274" s="102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103"/>
      <c r="U274" s="93"/>
      <c r="V274" s="94"/>
      <c r="W274" s="94"/>
      <c r="X274" s="94"/>
      <c r="Y274" s="95"/>
      <c r="Z274" s="96"/>
      <c r="AA274" s="96"/>
      <c r="AB274" s="96"/>
      <c r="AC274" s="96"/>
      <c r="AD274" s="95"/>
      <c r="AE274" s="95"/>
      <c r="AF274" s="95"/>
    </row>
    <row r="275" spans="2:32" s="101" customFormat="1" ht="14.25" customHeight="1" x14ac:dyDescent="0.3">
      <c r="B275" s="102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103"/>
      <c r="U275" s="93"/>
      <c r="V275" s="94"/>
      <c r="W275" s="94"/>
      <c r="X275" s="94"/>
      <c r="Y275" s="95"/>
      <c r="Z275" s="96"/>
      <c r="AA275" s="96"/>
      <c r="AB275" s="96"/>
      <c r="AC275" s="96"/>
      <c r="AD275" s="95"/>
      <c r="AE275" s="95"/>
      <c r="AF275" s="95"/>
    </row>
    <row r="276" spans="2:32" s="101" customFormat="1" ht="14.25" customHeight="1" x14ac:dyDescent="0.3">
      <c r="B276" s="102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103"/>
      <c r="U276" s="93"/>
      <c r="V276" s="94"/>
      <c r="W276" s="94"/>
      <c r="X276" s="94"/>
      <c r="Y276" s="95"/>
      <c r="Z276" s="96"/>
      <c r="AA276" s="96"/>
      <c r="AB276" s="96"/>
      <c r="AC276" s="96"/>
      <c r="AD276" s="95"/>
      <c r="AE276" s="95"/>
      <c r="AF276" s="95"/>
    </row>
    <row r="277" spans="2:32" s="101" customFormat="1" ht="14.25" customHeight="1" x14ac:dyDescent="0.3">
      <c r="B277" s="102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103"/>
      <c r="U277" s="93"/>
      <c r="V277" s="94"/>
      <c r="W277" s="94"/>
      <c r="X277" s="94"/>
      <c r="Y277" s="95"/>
      <c r="Z277" s="96"/>
      <c r="AA277" s="96"/>
      <c r="AB277" s="96"/>
      <c r="AC277" s="96"/>
      <c r="AD277" s="95"/>
      <c r="AE277" s="95"/>
      <c r="AF277" s="95"/>
    </row>
    <row r="278" spans="2:32" s="101" customFormat="1" ht="14.25" customHeight="1" x14ac:dyDescent="0.3">
      <c r="B278" s="102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103"/>
      <c r="U278" s="93"/>
      <c r="V278" s="94"/>
      <c r="W278" s="94"/>
      <c r="X278" s="94"/>
      <c r="Y278" s="95"/>
      <c r="Z278" s="96"/>
      <c r="AA278" s="96"/>
      <c r="AB278" s="96"/>
      <c r="AC278" s="96"/>
      <c r="AD278" s="95"/>
      <c r="AE278" s="95"/>
      <c r="AF278" s="95"/>
    </row>
    <row r="279" spans="2:32" s="101" customFormat="1" ht="14.25" customHeight="1" x14ac:dyDescent="0.3">
      <c r="B279" s="102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103"/>
      <c r="U279" s="93"/>
      <c r="V279" s="94"/>
      <c r="W279" s="94"/>
      <c r="X279" s="94"/>
      <c r="Y279" s="95"/>
      <c r="Z279" s="96"/>
      <c r="AA279" s="96"/>
      <c r="AB279" s="96"/>
      <c r="AC279" s="96"/>
      <c r="AD279" s="95"/>
      <c r="AE279" s="95"/>
      <c r="AF279" s="95"/>
    </row>
    <row r="280" spans="2:32" s="101" customFormat="1" ht="14.25" customHeight="1" x14ac:dyDescent="0.3">
      <c r="B280" s="102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103"/>
      <c r="U280" s="93"/>
      <c r="V280" s="94"/>
      <c r="W280" s="94"/>
      <c r="X280" s="94"/>
      <c r="Y280" s="95"/>
      <c r="Z280" s="96"/>
      <c r="AA280" s="96"/>
      <c r="AB280" s="96"/>
      <c r="AC280" s="96"/>
      <c r="AD280" s="95"/>
      <c r="AE280" s="95"/>
      <c r="AF280" s="95"/>
    </row>
    <row r="281" spans="2:32" s="101" customFormat="1" ht="14.25" customHeight="1" x14ac:dyDescent="0.3">
      <c r="B281" s="102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103"/>
      <c r="U281" s="93"/>
      <c r="V281" s="94"/>
      <c r="W281" s="94"/>
      <c r="X281" s="94"/>
      <c r="Y281" s="95"/>
      <c r="Z281" s="96"/>
      <c r="AA281" s="96"/>
      <c r="AB281" s="96"/>
      <c r="AC281" s="96"/>
      <c r="AD281" s="95"/>
      <c r="AE281" s="95"/>
      <c r="AF281" s="95"/>
    </row>
    <row r="282" spans="2:32" s="101" customFormat="1" ht="14.25" customHeight="1" x14ac:dyDescent="0.3">
      <c r="B282" s="102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103"/>
      <c r="U282" s="93"/>
      <c r="V282" s="94"/>
      <c r="W282" s="94"/>
      <c r="X282" s="94"/>
      <c r="Y282" s="95"/>
      <c r="Z282" s="96"/>
      <c r="AA282" s="96"/>
      <c r="AB282" s="96"/>
      <c r="AC282" s="96"/>
      <c r="AD282" s="95"/>
      <c r="AE282" s="95"/>
      <c r="AF282" s="95"/>
    </row>
    <row r="283" spans="2:32" s="101" customFormat="1" ht="14.25" customHeight="1" x14ac:dyDescent="0.3">
      <c r="B283" s="102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103"/>
      <c r="U283" s="93"/>
      <c r="V283" s="94"/>
      <c r="W283" s="94"/>
      <c r="X283" s="94"/>
      <c r="Y283" s="95"/>
      <c r="Z283" s="96"/>
      <c r="AA283" s="96"/>
      <c r="AB283" s="96"/>
      <c r="AC283" s="96"/>
      <c r="AD283" s="95"/>
      <c r="AE283" s="95"/>
      <c r="AF283" s="95"/>
    </row>
    <row r="284" spans="2:32" s="101" customFormat="1" ht="14.25" customHeight="1" x14ac:dyDescent="0.3">
      <c r="B284" s="102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103"/>
      <c r="U284" s="93"/>
      <c r="V284" s="94"/>
      <c r="W284" s="94"/>
      <c r="X284" s="94"/>
      <c r="Y284" s="95"/>
      <c r="Z284" s="96"/>
      <c r="AA284" s="96"/>
      <c r="AB284" s="96"/>
      <c r="AC284" s="96"/>
      <c r="AD284" s="95"/>
      <c r="AE284" s="95"/>
      <c r="AF284" s="95"/>
    </row>
    <row r="285" spans="2:32" s="101" customFormat="1" ht="14.25" customHeight="1" x14ac:dyDescent="0.3">
      <c r="B285" s="102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103"/>
      <c r="U285" s="93"/>
      <c r="V285" s="94"/>
      <c r="W285" s="94"/>
      <c r="X285" s="94"/>
      <c r="Y285" s="95"/>
      <c r="Z285" s="96"/>
      <c r="AA285" s="96"/>
      <c r="AB285" s="96"/>
      <c r="AC285" s="96"/>
      <c r="AD285" s="95"/>
      <c r="AE285" s="95"/>
      <c r="AF285" s="95"/>
    </row>
    <row r="286" spans="2:32" s="101" customFormat="1" ht="14.25" customHeight="1" x14ac:dyDescent="0.3">
      <c r="B286" s="102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103"/>
      <c r="U286" s="93"/>
      <c r="V286" s="94"/>
      <c r="W286" s="94"/>
      <c r="X286" s="94"/>
      <c r="Y286" s="95"/>
      <c r="Z286" s="96"/>
      <c r="AA286" s="96"/>
      <c r="AB286" s="96"/>
      <c r="AC286" s="96"/>
      <c r="AD286" s="95"/>
      <c r="AE286" s="95"/>
      <c r="AF286" s="95"/>
    </row>
    <row r="287" spans="2:32" s="101" customFormat="1" ht="14.25" customHeight="1" x14ac:dyDescent="0.3">
      <c r="B287" s="102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103"/>
      <c r="U287" s="93"/>
      <c r="V287" s="94"/>
      <c r="W287" s="94"/>
      <c r="X287" s="94"/>
      <c r="Y287" s="95"/>
      <c r="Z287" s="96"/>
      <c r="AA287" s="96"/>
      <c r="AB287" s="96"/>
      <c r="AC287" s="96"/>
      <c r="AD287" s="95"/>
      <c r="AE287" s="95"/>
      <c r="AF287" s="95"/>
    </row>
    <row r="288" spans="2:32" s="101" customFormat="1" ht="14.25" customHeight="1" x14ac:dyDescent="0.3">
      <c r="B288" s="102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103"/>
      <c r="U288" s="93"/>
      <c r="V288" s="94"/>
      <c r="W288" s="94"/>
      <c r="X288" s="94"/>
      <c r="Y288" s="95"/>
      <c r="Z288" s="96"/>
      <c r="AA288" s="96"/>
      <c r="AB288" s="96"/>
      <c r="AC288" s="96"/>
      <c r="AD288" s="95"/>
      <c r="AE288" s="95"/>
      <c r="AF288" s="95"/>
    </row>
    <row r="289" spans="2:32" s="101" customFormat="1" ht="14.25" customHeight="1" x14ac:dyDescent="0.3">
      <c r="B289" s="102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103"/>
      <c r="U289" s="93"/>
      <c r="V289" s="94"/>
      <c r="W289" s="94"/>
      <c r="X289" s="94"/>
      <c r="Y289" s="95"/>
      <c r="Z289" s="96"/>
      <c r="AA289" s="96"/>
      <c r="AB289" s="96"/>
      <c r="AC289" s="96"/>
      <c r="AD289" s="95"/>
      <c r="AE289" s="95"/>
      <c r="AF289" s="95"/>
    </row>
    <row r="290" spans="2:32" s="101" customFormat="1" ht="14.25" customHeight="1" x14ac:dyDescent="0.3">
      <c r="B290" s="102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103"/>
      <c r="U290" s="93"/>
      <c r="V290" s="94"/>
      <c r="W290" s="94"/>
      <c r="X290" s="94"/>
      <c r="Y290" s="95"/>
      <c r="Z290" s="96"/>
      <c r="AA290" s="96"/>
      <c r="AB290" s="96"/>
      <c r="AC290" s="96"/>
      <c r="AD290" s="95"/>
      <c r="AE290" s="95"/>
      <c r="AF290" s="95"/>
    </row>
    <row r="291" spans="2:32" s="101" customFormat="1" ht="14.25" customHeight="1" x14ac:dyDescent="0.3">
      <c r="B291" s="102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103"/>
      <c r="U291" s="93"/>
      <c r="V291" s="94"/>
      <c r="W291" s="94"/>
      <c r="X291" s="94"/>
      <c r="Y291" s="95"/>
      <c r="Z291" s="96"/>
      <c r="AA291" s="96"/>
      <c r="AB291" s="96"/>
      <c r="AC291" s="96"/>
      <c r="AD291" s="95"/>
      <c r="AE291" s="95"/>
      <c r="AF291" s="95"/>
    </row>
    <row r="292" spans="2:32" s="101" customFormat="1" ht="14.25" customHeight="1" x14ac:dyDescent="0.3">
      <c r="B292" s="102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103"/>
      <c r="U292" s="93"/>
      <c r="V292" s="94"/>
      <c r="W292" s="94"/>
      <c r="X292" s="94"/>
      <c r="Y292" s="95"/>
      <c r="Z292" s="96"/>
      <c r="AA292" s="96"/>
      <c r="AB292" s="96"/>
      <c r="AC292" s="96"/>
      <c r="AD292" s="95"/>
      <c r="AE292" s="95"/>
      <c r="AF292" s="95"/>
    </row>
    <row r="293" spans="2:32" s="101" customFormat="1" ht="14.25" customHeight="1" x14ac:dyDescent="0.3">
      <c r="B293" s="102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103"/>
      <c r="U293" s="93"/>
      <c r="V293" s="94"/>
      <c r="W293" s="94"/>
      <c r="X293" s="94"/>
      <c r="Y293" s="95"/>
      <c r="Z293" s="96"/>
      <c r="AA293" s="96"/>
      <c r="AB293" s="96"/>
      <c r="AC293" s="96"/>
      <c r="AD293" s="95"/>
      <c r="AE293" s="95"/>
      <c r="AF293" s="95"/>
    </row>
    <row r="294" spans="2:32" s="101" customFormat="1" ht="14.25" customHeight="1" x14ac:dyDescent="0.3">
      <c r="B294" s="102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103"/>
      <c r="U294" s="93"/>
      <c r="V294" s="94"/>
      <c r="W294" s="94"/>
      <c r="X294" s="94"/>
      <c r="Y294" s="95"/>
      <c r="Z294" s="96"/>
      <c r="AA294" s="96"/>
      <c r="AB294" s="96"/>
      <c r="AC294" s="96"/>
      <c r="AD294" s="95"/>
      <c r="AE294" s="95"/>
      <c r="AF294" s="95"/>
    </row>
    <row r="295" spans="2:32" s="101" customFormat="1" ht="14.25" customHeight="1" x14ac:dyDescent="0.3">
      <c r="B295" s="102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103"/>
      <c r="U295" s="93"/>
      <c r="V295" s="94"/>
      <c r="W295" s="94"/>
      <c r="X295" s="94"/>
      <c r="Y295" s="95"/>
      <c r="Z295" s="96"/>
      <c r="AA295" s="96"/>
      <c r="AB295" s="96"/>
      <c r="AC295" s="96"/>
      <c r="AD295" s="95"/>
      <c r="AE295" s="95"/>
      <c r="AF295" s="95"/>
    </row>
    <row r="296" spans="2:32" s="101" customFormat="1" ht="14.25" customHeight="1" x14ac:dyDescent="0.3">
      <c r="B296" s="102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103"/>
      <c r="U296" s="93"/>
      <c r="V296" s="94"/>
      <c r="W296" s="94"/>
      <c r="X296" s="94"/>
      <c r="Y296" s="95"/>
      <c r="Z296" s="96"/>
      <c r="AA296" s="96"/>
      <c r="AB296" s="96"/>
      <c r="AC296" s="96"/>
      <c r="AD296" s="95"/>
      <c r="AE296" s="95"/>
      <c r="AF296" s="95"/>
    </row>
    <row r="297" spans="2:32" s="101" customFormat="1" ht="14.25" customHeight="1" x14ac:dyDescent="0.3">
      <c r="B297" s="102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103"/>
      <c r="U297" s="93"/>
      <c r="V297" s="94"/>
      <c r="W297" s="94"/>
      <c r="X297" s="94"/>
      <c r="Y297" s="95"/>
      <c r="Z297" s="96"/>
      <c r="AA297" s="96"/>
      <c r="AB297" s="96"/>
      <c r="AC297" s="96"/>
      <c r="AD297" s="95"/>
      <c r="AE297" s="95"/>
      <c r="AF297" s="95"/>
    </row>
    <row r="298" spans="2:32" s="101" customFormat="1" ht="14.25" customHeight="1" x14ac:dyDescent="0.3">
      <c r="B298" s="102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103"/>
      <c r="U298" s="93"/>
      <c r="V298" s="94"/>
      <c r="W298" s="94"/>
      <c r="X298" s="94"/>
      <c r="Y298" s="95"/>
      <c r="Z298" s="96"/>
      <c r="AA298" s="96"/>
      <c r="AB298" s="96"/>
      <c r="AC298" s="96"/>
      <c r="AD298" s="95"/>
      <c r="AE298" s="95"/>
      <c r="AF298" s="95"/>
    </row>
    <row r="299" spans="2:32" s="101" customFormat="1" ht="14.25" customHeight="1" x14ac:dyDescent="0.3">
      <c r="B299" s="102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103"/>
      <c r="U299" s="93"/>
      <c r="V299" s="94"/>
      <c r="W299" s="94"/>
      <c r="X299" s="94"/>
      <c r="Y299" s="95"/>
      <c r="Z299" s="96"/>
      <c r="AA299" s="96"/>
      <c r="AB299" s="96"/>
      <c r="AC299" s="96"/>
      <c r="AD299" s="95"/>
      <c r="AE299" s="95"/>
      <c r="AF299" s="95"/>
    </row>
    <row r="300" spans="2:32" s="101" customFormat="1" ht="14.25" customHeight="1" x14ac:dyDescent="0.3">
      <c r="B300" s="102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103"/>
      <c r="U300" s="93"/>
      <c r="V300" s="94"/>
      <c r="W300" s="94"/>
      <c r="X300" s="94"/>
      <c r="Y300" s="95"/>
      <c r="Z300" s="96"/>
      <c r="AA300" s="96"/>
      <c r="AB300" s="96"/>
      <c r="AC300" s="96"/>
      <c r="AD300" s="95"/>
      <c r="AE300" s="95"/>
      <c r="AF300" s="95"/>
    </row>
    <row r="301" spans="2:32" s="101" customFormat="1" ht="14.25" customHeight="1" x14ac:dyDescent="0.3">
      <c r="B301" s="102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103"/>
      <c r="U301" s="93"/>
      <c r="V301" s="94"/>
      <c r="W301" s="94"/>
      <c r="X301" s="94"/>
      <c r="Y301" s="95"/>
      <c r="Z301" s="96"/>
      <c r="AA301" s="96"/>
      <c r="AB301" s="96"/>
      <c r="AC301" s="96"/>
      <c r="AD301" s="95"/>
      <c r="AE301" s="95"/>
      <c r="AF301" s="95"/>
    </row>
    <row r="302" spans="2:32" s="101" customFormat="1" ht="14.25" customHeight="1" x14ac:dyDescent="0.3">
      <c r="B302" s="102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103"/>
      <c r="U302" s="93"/>
      <c r="V302" s="94"/>
      <c r="W302" s="94"/>
      <c r="X302" s="94"/>
      <c r="Y302" s="95"/>
      <c r="Z302" s="96"/>
      <c r="AA302" s="96"/>
      <c r="AB302" s="96"/>
      <c r="AC302" s="96"/>
      <c r="AD302" s="95"/>
      <c r="AE302" s="95"/>
      <c r="AF302" s="95"/>
    </row>
    <row r="303" spans="2:32" s="101" customFormat="1" ht="14.25" customHeight="1" x14ac:dyDescent="0.3">
      <c r="B303" s="102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103"/>
      <c r="U303" s="93"/>
      <c r="V303" s="94"/>
      <c r="W303" s="94"/>
      <c r="X303" s="94"/>
      <c r="Y303" s="95"/>
      <c r="Z303" s="96"/>
      <c r="AA303" s="96"/>
      <c r="AB303" s="96"/>
      <c r="AC303" s="96"/>
      <c r="AD303" s="95"/>
      <c r="AE303" s="95"/>
      <c r="AF303" s="95"/>
    </row>
    <row r="304" spans="2:32" s="101" customFormat="1" ht="14.25" customHeight="1" x14ac:dyDescent="0.3">
      <c r="B304" s="102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103"/>
      <c r="U304" s="93"/>
      <c r="V304" s="94"/>
      <c r="W304" s="94"/>
      <c r="X304" s="94"/>
      <c r="Y304" s="95"/>
      <c r="Z304" s="96"/>
      <c r="AA304" s="96"/>
      <c r="AB304" s="96"/>
      <c r="AC304" s="96"/>
      <c r="AD304" s="95"/>
      <c r="AE304" s="95"/>
      <c r="AF304" s="95"/>
    </row>
    <row r="305" spans="2:32" s="101" customFormat="1" ht="14.25" customHeight="1" x14ac:dyDescent="0.3">
      <c r="B305" s="102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103"/>
      <c r="U305" s="93"/>
      <c r="V305" s="94"/>
      <c r="W305" s="94"/>
      <c r="X305" s="94"/>
      <c r="Y305" s="95"/>
      <c r="Z305" s="96"/>
      <c r="AA305" s="96"/>
      <c r="AB305" s="96"/>
      <c r="AC305" s="96"/>
      <c r="AD305" s="95"/>
      <c r="AE305" s="95"/>
      <c r="AF305" s="95"/>
    </row>
    <row r="306" spans="2:32" s="101" customFormat="1" ht="14.25" customHeight="1" x14ac:dyDescent="0.3">
      <c r="B306" s="102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103"/>
      <c r="U306" s="93"/>
      <c r="V306" s="94"/>
      <c r="W306" s="94"/>
      <c r="X306" s="94"/>
      <c r="Y306" s="95"/>
      <c r="Z306" s="96"/>
      <c r="AA306" s="96"/>
      <c r="AB306" s="96"/>
      <c r="AC306" s="96"/>
      <c r="AD306" s="95"/>
      <c r="AE306" s="95"/>
      <c r="AF306" s="95"/>
    </row>
    <row r="307" spans="2:32" s="101" customFormat="1" ht="14.25" customHeight="1" x14ac:dyDescent="0.3">
      <c r="B307" s="102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103"/>
      <c r="U307" s="93"/>
      <c r="V307" s="94"/>
      <c r="W307" s="94"/>
      <c r="X307" s="94"/>
      <c r="Y307" s="95"/>
      <c r="Z307" s="96"/>
      <c r="AA307" s="96"/>
      <c r="AB307" s="96"/>
      <c r="AC307" s="96"/>
      <c r="AD307" s="95"/>
      <c r="AE307" s="95"/>
      <c r="AF307" s="95"/>
    </row>
    <row r="308" spans="2:32" s="101" customFormat="1" ht="14.25" customHeight="1" x14ac:dyDescent="0.3">
      <c r="B308" s="102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103"/>
      <c r="U308" s="93"/>
      <c r="V308" s="94"/>
      <c r="W308" s="94"/>
      <c r="X308" s="94"/>
      <c r="Y308" s="95"/>
      <c r="Z308" s="96"/>
      <c r="AA308" s="96"/>
      <c r="AB308" s="96"/>
      <c r="AC308" s="96"/>
      <c r="AD308" s="95"/>
      <c r="AE308" s="95"/>
      <c r="AF308" s="95"/>
    </row>
    <row r="309" spans="2:32" s="101" customFormat="1" ht="14.25" customHeight="1" x14ac:dyDescent="0.3">
      <c r="B309" s="102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103"/>
      <c r="U309" s="93"/>
      <c r="V309" s="94"/>
      <c r="W309" s="94"/>
      <c r="X309" s="94"/>
      <c r="Y309" s="95"/>
      <c r="Z309" s="96"/>
      <c r="AA309" s="96"/>
      <c r="AB309" s="96"/>
      <c r="AC309" s="96"/>
      <c r="AD309" s="95"/>
      <c r="AE309" s="95"/>
      <c r="AF309" s="95"/>
    </row>
    <row r="310" spans="2:32" s="101" customFormat="1" ht="14.25" customHeight="1" x14ac:dyDescent="0.3">
      <c r="B310" s="102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103"/>
      <c r="U310" s="93"/>
      <c r="V310" s="94"/>
      <c r="W310" s="94"/>
      <c r="X310" s="94"/>
      <c r="Y310" s="95"/>
      <c r="Z310" s="96"/>
      <c r="AA310" s="96"/>
      <c r="AB310" s="96"/>
      <c r="AC310" s="96"/>
      <c r="AD310" s="95"/>
      <c r="AE310" s="95"/>
      <c r="AF310" s="95"/>
    </row>
    <row r="311" spans="2:32" s="101" customFormat="1" ht="14.25" customHeight="1" x14ac:dyDescent="0.3">
      <c r="B311" s="102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103"/>
      <c r="U311" s="93"/>
      <c r="V311" s="94"/>
      <c r="W311" s="94"/>
      <c r="X311" s="94"/>
      <c r="Y311" s="95"/>
      <c r="Z311" s="96"/>
      <c r="AA311" s="96"/>
      <c r="AB311" s="96"/>
      <c r="AC311" s="96"/>
      <c r="AD311" s="95"/>
      <c r="AE311" s="95"/>
      <c r="AF311" s="95"/>
    </row>
    <row r="312" spans="2:32" s="101" customFormat="1" ht="14.25" customHeight="1" x14ac:dyDescent="0.3">
      <c r="B312" s="102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103"/>
      <c r="U312" s="93"/>
      <c r="V312" s="94"/>
      <c r="W312" s="94"/>
      <c r="X312" s="94"/>
      <c r="Y312" s="95"/>
      <c r="Z312" s="96"/>
      <c r="AA312" s="96"/>
      <c r="AB312" s="96"/>
      <c r="AC312" s="96"/>
      <c r="AD312" s="95"/>
      <c r="AE312" s="95"/>
      <c r="AF312" s="95"/>
    </row>
    <row r="313" spans="2:32" s="101" customFormat="1" ht="14.25" customHeight="1" x14ac:dyDescent="0.3">
      <c r="B313" s="102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103"/>
      <c r="U313" s="93"/>
      <c r="V313" s="94"/>
      <c r="W313" s="94"/>
      <c r="X313" s="94"/>
      <c r="Y313" s="95"/>
      <c r="Z313" s="96"/>
      <c r="AA313" s="96"/>
      <c r="AB313" s="96"/>
      <c r="AC313" s="96"/>
      <c r="AD313" s="95"/>
      <c r="AE313" s="95"/>
      <c r="AF313" s="95"/>
    </row>
    <row r="314" spans="2:32" s="101" customFormat="1" ht="14.25" customHeight="1" x14ac:dyDescent="0.3">
      <c r="B314" s="102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103"/>
      <c r="U314" s="93"/>
      <c r="V314" s="94"/>
      <c r="W314" s="94"/>
      <c r="X314" s="94"/>
      <c r="Y314" s="95"/>
      <c r="Z314" s="96"/>
      <c r="AA314" s="96"/>
      <c r="AB314" s="96"/>
      <c r="AC314" s="96"/>
      <c r="AD314" s="95"/>
      <c r="AE314" s="95"/>
      <c r="AF314" s="95"/>
    </row>
    <row r="315" spans="2:32" s="101" customFormat="1" ht="14.25" customHeight="1" x14ac:dyDescent="0.3">
      <c r="B315" s="102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103"/>
      <c r="U315" s="93"/>
      <c r="V315" s="94"/>
      <c r="W315" s="94"/>
      <c r="X315" s="94"/>
      <c r="Y315" s="95"/>
      <c r="Z315" s="96"/>
      <c r="AA315" s="96"/>
      <c r="AB315" s="96"/>
      <c r="AC315" s="96"/>
      <c r="AD315" s="95"/>
      <c r="AE315" s="95"/>
      <c r="AF315" s="95"/>
    </row>
    <row r="316" spans="2:32" s="101" customFormat="1" ht="14.25" customHeight="1" x14ac:dyDescent="0.3">
      <c r="B316" s="102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103"/>
      <c r="U316" s="93"/>
      <c r="V316" s="94"/>
      <c r="W316" s="94"/>
      <c r="X316" s="94"/>
      <c r="Y316" s="95"/>
      <c r="Z316" s="96"/>
      <c r="AA316" s="96"/>
      <c r="AB316" s="96"/>
      <c r="AC316" s="96"/>
      <c r="AD316" s="95"/>
      <c r="AE316" s="95"/>
      <c r="AF316" s="95"/>
    </row>
    <row r="317" spans="2:32" s="101" customFormat="1" ht="14.25" customHeight="1" x14ac:dyDescent="0.3">
      <c r="B317" s="102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103"/>
      <c r="U317" s="93"/>
      <c r="V317" s="94"/>
      <c r="W317" s="94"/>
      <c r="X317" s="94"/>
      <c r="Y317" s="95"/>
      <c r="Z317" s="96"/>
      <c r="AA317" s="96"/>
      <c r="AB317" s="96"/>
      <c r="AC317" s="96"/>
      <c r="AD317" s="95"/>
      <c r="AE317" s="95"/>
      <c r="AF317" s="95"/>
    </row>
    <row r="318" spans="2:32" s="101" customFormat="1" ht="14.25" customHeight="1" x14ac:dyDescent="0.3">
      <c r="B318" s="102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103"/>
      <c r="U318" s="93"/>
      <c r="V318" s="94"/>
      <c r="W318" s="94"/>
      <c r="X318" s="94"/>
      <c r="Y318" s="95"/>
      <c r="Z318" s="96"/>
      <c r="AA318" s="96"/>
      <c r="AB318" s="96"/>
      <c r="AC318" s="96"/>
      <c r="AD318" s="95"/>
      <c r="AE318" s="95"/>
      <c r="AF318" s="95"/>
    </row>
    <row r="319" spans="2:32" s="101" customFormat="1" ht="14.25" customHeight="1" x14ac:dyDescent="0.3">
      <c r="B319" s="102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103"/>
      <c r="U319" s="93"/>
      <c r="V319" s="94"/>
      <c r="W319" s="94"/>
      <c r="X319" s="94"/>
      <c r="Y319" s="95"/>
      <c r="Z319" s="96"/>
      <c r="AA319" s="96"/>
      <c r="AB319" s="96"/>
      <c r="AC319" s="96"/>
      <c r="AD319" s="95"/>
      <c r="AE319" s="95"/>
      <c r="AF319" s="95"/>
    </row>
    <row r="320" spans="2:32" s="101" customFormat="1" ht="14.25" customHeight="1" x14ac:dyDescent="0.3">
      <c r="B320" s="102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103"/>
      <c r="U320" s="93"/>
      <c r="V320" s="94"/>
      <c r="W320" s="94"/>
      <c r="X320" s="94"/>
      <c r="Y320" s="95"/>
      <c r="Z320" s="96"/>
      <c r="AA320" s="96"/>
      <c r="AB320" s="96"/>
      <c r="AC320" s="96"/>
      <c r="AD320" s="95"/>
      <c r="AE320" s="95"/>
      <c r="AF320" s="95"/>
    </row>
    <row r="321" spans="2:32" s="101" customFormat="1" ht="14.25" customHeight="1" x14ac:dyDescent="0.3">
      <c r="B321" s="102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103"/>
      <c r="U321" s="93"/>
      <c r="V321" s="94"/>
      <c r="W321" s="94"/>
      <c r="X321" s="94"/>
      <c r="Y321" s="95"/>
      <c r="Z321" s="96"/>
      <c r="AA321" s="96"/>
      <c r="AB321" s="96"/>
      <c r="AC321" s="96"/>
      <c r="AD321" s="95"/>
      <c r="AE321" s="95"/>
      <c r="AF321" s="95"/>
    </row>
    <row r="322" spans="2:32" s="101" customFormat="1" ht="14.25" customHeight="1" x14ac:dyDescent="0.3">
      <c r="B322" s="102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103"/>
      <c r="U322" s="93"/>
      <c r="V322" s="94"/>
      <c r="W322" s="94"/>
      <c r="X322" s="94"/>
      <c r="Y322" s="95"/>
      <c r="Z322" s="96"/>
      <c r="AA322" s="96"/>
      <c r="AB322" s="96"/>
      <c r="AC322" s="96"/>
      <c r="AD322" s="95"/>
      <c r="AE322" s="95"/>
      <c r="AF322" s="95"/>
    </row>
    <row r="323" spans="2:32" s="101" customFormat="1" ht="14.25" customHeight="1" x14ac:dyDescent="0.3">
      <c r="B323" s="102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103"/>
      <c r="U323" s="93"/>
      <c r="V323" s="94"/>
      <c r="W323" s="94"/>
      <c r="X323" s="94"/>
      <c r="Y323" s="95"/>
      <c r="Z323" s="96"/>
      <c r="AA323" s="96"/>
      <c r="AB323" s="96"/>
      <c r="AC323" s="96"/>
      <c r="AD323" s="95"/>
      <c r="AE323" s="95"/>
      <c r="AF323" s="95"/>
    </row>
    <row r="324" spans="2:32" s="101" customFormat="1" ht="14.25" customHeight="1" x14ac:dyDescent="0.3">
      <c r="B324" s="102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103"/>
      <c r="U324" s="93"/>
      <c r="V324" s="94"/>
      <c r="W324" s="94"/>
      <c r="X324" s="94"/>
      <c r="Y324" s="95"/>
      <c r="Z324" s="96"/>
      <c r="AA324" s="96"/>
      <c r="AB324" s="96"/>
      <c r="AC324" s="96"/>
      <c r="AD324" s="95"/>
      <c r="AE324" s="95"/>
      <c r="AF324" s="95"/>
    </row>
    <row r="325" spans="2:32" s="101" customFormat="1" ht="14.25" customHeight="1" x14ac:dyDescent="0.3">
      <c r="B325" s="102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103"/>
      <c r="U325" s="93"/>
      <c r="V325" s="94"/>
      <c r="W325" s="94"/>
      <c r="X325" s="94"/>
      <c r="Y325" s="95"/>
      <c r="Z325" s="96"/>
      <c r="AA325" s="96"/>
      <c r="AB325" s="96"/>
      <c r="AC325" s="96"/>
      <c r="AD325" s="95"/>
      <c r="AE325" s="95"/>
      <c r="AF325" s="95"/>
    </row>
    <row r="326" spans="2:32" s="101" customFormat="1" ht="14.25" customHeight="1" x14ac:dyDescent="0.3">
      <c r="B326" s="102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103"/>
      <c r="U326" s="93"/>
      <c r="V326" s="94"/>
      <c r="W326" s="94"/>
      <c r="X326" s="94"/>
      <c r="Y326" s="95"/>
      <c r="Z326" s="96"/>
      <c r="AA326" s="96"/>
      <c r="AB326" s="96"/>
      <c r="AC326" s="96"/>
      <c r="AD326" s="95"/>
      <c r="AE326" s="95"/>
      <c r="AF326" s="95"/>
    </row>
    <row r="327" spans="2:32" s="101" customFormat="1" ht="14.25" customHeight="1" x14ac:dyDescent="0.3">
      <c r="B327" s="102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103"/>
      <c r="U327" s="93"/>
      <c r="V327" s="94"/>
      <c r="W327" s="94"/>
      <c r="X327" s="94"/>
      <c r="Y327" s="95"/>
      <c r="Z327" s="96"/>
      <c r="AA327" s="96"/>
      <c r="AB327" s="96"/>
      <c r="AC327" s="96"/>
      <c r="AD327" s="95"/>
      <c r="AE327" s="95"/>
      <c r="AF327" s="95"/>
    </row>
    <row r="328" spans="2:32" s="101" customFormat="1" ht="14.25" customHeight="1" x14ac:dyDescent="0.3">
      <c r="B328" s="102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103"/>
      <c r="U328" s="93"/>
      <c r="V328" s="94"/>
      <c r="W328" s="94"/>
      <c r="X328" s="94"/>
      <c r="Y328" s="95"/>
      <c r="Z328" s="96"/>
      <c r="AA328" s="96"/>
      <c r="AB328" s="96"/>
      <c r="AC328" s="96"/>
      <c r="AD328" s="95"/>
      <c r="AE328" s="95"/>
      <c r="AF328" s="95"/>
    </row>
    <row r="329" spans="2:32" s="101" customFormat="1" ht="14.25" customHeight="1" x14ac:dyDescent="0.3">
      <c r="B329" s="102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103"/>
      <c r="U329" s="93"/>
      <c r="V329" s="94"/>
      <c r="W329" s="94"/>
      <c r="X329" s="94"/>
      <c r="Y329" s="95"/>
      <c r="Z329" s="96"/>
      <c r="AA329" s="96"/>
      <c r="AB329" s="96"/>
      <c r="AC329" s="96"/>
      <c r="AD329" s="95"/>
      <c r="AE329" s="95"/>
      <c r="AF329" s="95"/>
    </row>
    <row r="330" spans="2:32" s="101" customFormat="1" ht="14.25" customHeight="1" x14ac:dyDescent="0.3">
      <c r="B330" s="102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103"/>
      <c r="U330" s="93"/>
      <c r="V330" s="94"/>
      <c r="W330" s="94"/>
      <c r="X330" s="94"/>
      <c r="Y330" s="95"/>
      <c r="Z330" s="96"/>
      <c r="AA330" s="96"/>
      <c r="AB330" s="96"/>
      <c r="AC330" s="96"/>
      <c r="AD330" s="95"/>
      <c r="AE330" s="95"/>
      <c r="AF330" s="95"/>
    </row>
    <row r="331" spans="2:32" s="101" customFormat="1" ht="14.25" customHeight="1" x14ac:dyDescent="0.3">
      <c r="B331" s="102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103"/>
      <c r="U331" s="93"/>
      <c r="V331" s="94"/>
      <c r="W331" s="94"/>
      <c r="X331" s="94"/>
      <c r="Y331" s="95"/>
      <c r="Z331" s="96"/>
      <c r="AA331" s="96"/>
      <c r="AB331" s="96"/>
      <c r="AC331" s="96"/>
      <c r="AD331" s="95"/>
      <c r="AE331" s="95"/>
      <c r="AF331" s="95"/>
    </row>
    <row r="332" spans="2:32" s="101" customFormat="1" ht="14.25" customHeight="1" x14ac:dyDescent="0.3">
      <c r="B332" s="102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103"/>
      <c r="U332" s="93"/>
      <c r="V332" s="94"/>
      <c r="W332" s="94"/>
      <c r="X332" s="94"/>
      <c r="Y332" s="95"/>
      <c r="Z332" s="96"/>
      <c r="AA332" s="96"/>
      <c r="AB332" s="96"/>
      <c r="AC332" s="96"/>
      <c r="AD332" s="95"/>
      <c r="AE332" s="95"/>
      <c r="AF332" s="95"/>
    </row>
    <row r="333" spans="2:32" s="101" customFormat="1" ht="14.25" customHeight="1" x14ac:dyDescent="0.3">
      <c r="B333" s="102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103"/>
      <c r="U333" s="93"/>
      <c r="V333" s="94"/>
      <c r="W333" s="94"/>
      <c r="X333" s="94"/>
      <c r="Y333" s="95"/>
      <c r="Z333" s="96"/>
      <c r="AA333" s="96"/>
      <c r="AB333" s="96"/>
      <c r="AC333" s="96"/>
      <c r="AD333" s="95"/>
      <c r="AE333" s="95"/>
      <c r="AF333" s="95"/>
    </row>
    <row r="334" spans="2:32" s="101" customFormat="1" ht="14.25" customHeight="1" x14ac:dyDescent="0.3">
      <c r="B334" s="102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103"/>
      <c r="U334" s="93"/>
      <c r="V334" s="94"/>
      <c r="W334" s="94"/>
      <c r="X334" s="94"/>
      <c r="Y334" s="95"/>
      <c r="Z334" s="96"/>
      <c r="AA334" s="96"/>
      <c r="AB334" s="96"/>
      <c r="AC334" s="96"/>
      <c r="AD334" s="95"/>
      <c r="AE334" s="95"/>
      <c r="AF334" s="95"/>
    </row>
    <row r="335" spans="2:32" s="101" customFormat="1" ht="14.25" customHeight="1" x14ac:dyDescent="0.3">
      <c r="B335" s="102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103"/>
      <c r="U335" s="93"/>
      <c r="V335" s="94"/>
      <c r="W335" s="94"/>
      <c r="X335" s="94"/>
      <c r="Y335" s="95"/>
      <c r="Z335" s="96"/>
      <c r="AA335" s="96"/>
      <c r="AB335" s="96"/>
      <c r="AC335" s="96"/>
      <c r="AD335" s="95"/>
      <c r="AE335" s="95"/>
      <c r="AF335" s="95"/>
    </row>
    <row r="336" spans="2:32" s="101" customFormat="1" ht="14.25" customHeight="1" x14ac:dyDescent="0.3">
      <c r="B336" s="102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103"/>
      <c r="U336" s="93"/>
      <c r="V336" s="94"/>
      <c r="W336" s="94"/>
      <c r="X336" s="94"/>
      <c r="Y336" s="95"/>
      <c r="Z336" s="96"/>
      <c r="AA336" s="96"/>
      <c r="AB336" s="96"/>
      <c r="AC336" s="96"/>
      <c r="AD336" s="95"/>
      <c r="AE336" s="95"/>
      <c r="AF336" s="95"/>
    </row>
    <row r="337" spans="2:32" s="101" customFormat="1" ht="14.25" customHeight="1" x14ac:dyDescent="0.3">
      <c r="B337" s="102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103"/>
      <c r="U337" s="93"/>
      <c r="V337" s="94"/>
      <c r="W337" s="94"/>
      <c r="X337" s="94"/>
      <c r="Y337" s="95"/>
      <c r="Z337" s="96"/>
      <c r="AA337" s="96"/>
      <c r="AB337" s="96"/>
      <c r="AC337" s="96"/>
      <c r="AD337" s="95"/>
      <c r="AE337" s="95"/>
      <c r="AF337" s="95"/>
    </row>
    <row r="338" spans="2:32" s="101" customFormat="1" ht="14.25" customHeight="1" x14ac:dyDescent="0.3">
      <c r="B338" s="102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103"/>
      <c r="U338" s="93"/>
      <c r="V338" s="94"/>
      <c r="W338" s="94"/>
      <c r="X338" s="94"/>
      <c r="Y338" s="95"/>
      <c r="Z338" s="96"/>
      <c r="AA338" s="96"/>
      <c r="AB338" s="96"/>
      <c r="AC338" s="96"/>
      <c r="AD338" s="95"/>
      <c r="AE338" s="95"/>
      <c r="AF338" s="95"/>
    </row>
    <row r="339" spans="2:32" s="101" customFormat="1" ht="14.25" customHeight="1" x14ac:dyDescent="0.3">
      <c r="B339" s="102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103"/>
      <c r="U339" s="93"/>
      <c r="V339" s="94"/>
      <c r="W339" s="94"/>
      <c r="X339" s="94"/>
      <c r="Y339" s="95"/>
      <c r="Z339" s="96"/>
      <c r="AA339" s="96"/>
      <c r="AB339" s="96"/>
      <c r="AC339" s="96"/>
      <c r="AD339" s="95"/>
      <c r="AE339" s="95"/>
      <c r="AF339" s="95"/>
    </row>
    <row r="340" spans="2:32" s="101" customFormat="1" ht="14.25" customHeight="1" x14ac:dyDescent="0.3">
      <c r="B340" s="102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103"/>
      <c r="U340" s="93"/>
      <c r="V340" s="94"/>
      <c r="W340" s="94"/>
      <c r="X340" s="94"/>
      <c r="Y340" s="95"/>
      <c r="Z340" s="96"/>
      <c r="AA340" s="96"/>
      <c r="AB340" s="96"/>
      <c r="AC340" s="96"/>
      <c r="AD340" s="95"/>
      <c r="AE340" s="95"/>
      <c r="AF340" s="95"/>
    </row>
    <row r="341" spans="2:32" s="101" customFormat="1" ht="14.25" customHeight="1" x14ac:dyDescent="0.3">
      <c r="B341" s="102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103"/>
      <c r="U341" s="93"/>
      <c r="V341" s="94"/>
      <c r="W341" s="94"/>
      <c r="X341" s="94"/>
      <c r="Y341" s="95"/>
      <c r="Z341" s="96"/>
      <c r="AA341" s="96"/>
      <c r="AB341" s="96"/>
      <c r="AC341" s="96"/>
      <c r="AD341" s="95"/>
      <c r="AE341" s="95"/>
      <c r="AF341" s="95"/>
    </row>
    <row r="342" spans="2:32" s="101" customFormat="1" ht="14.25" customHeight="1" x14ac:dyDescent="0.3">
      <c r="B342" s="102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103"/>
      <c r="U342" s="93"/>
      <c r="V342" s="94"/>
      <c r="W342" s="94"/>
      <c r="X342" s="94"/>
      <c r="Y342" s="95"/>
      <c r="Z342" s="96"/>
      <c r="AA342" s="96"/>
      <c r="AB342" s="96"/>
      <c r="AC342" s="96"/>
      <c r="AD342" s="95"/>
      <c r="AE342" s="95"/>
      <c r="AF342" s="95"/>
    </row>
    <row r="343" spans="2:32" s="101" customFormat="1" ht="14.25" customHeight="1" x14ac:dyDescent="0.3">
      <c r="B343" s="102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103"/>
      <c r="U343" s="93"/>
      <c r="V343" s="94"/>
      <c r="W343" s="94"/>
      <c r="X343" s="94"/>
      <c r="Y343" s="95"/>
      <c r="Z343" s="96"/>
      <c r="AA343" s="96"/>
      <c r="AB343" s="96"/>
      <c r="AC343" s="96"/>
      <c r="AD343" s="95"/>
      <c r="AE343" s="95"/>
      <c r="AF343" s="95"/>
    </row>
    <row r="344" spans="2:32" s="101" customFormat="1" ht="14.25" customHeight="1" x14ac:dyDescent="0.3">
      <c r="B344" s="102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103"/>
      <c r="U344" s="93"/>
      <c r="V344" s="94"/>
      <c r="W344" s="94"/>
      <c r="X344" s="94"/>
      <c r="Y344" s="95"/>
      <c r="Z344" s="96"/>
      <c r="AA344" s="96"/>
      <c r="AB344" s="96"/>
      <c r="AC344" s="96"/>
      <c r="AD344" s="95"/>
      <c r="AE344" s="95"/>
      <c r="AF344" s="95"/>
    </row>
    <row r="345" spans="2:32" s="101" customFormat="1" ht="14.25" customHeight="1" x14ac:dyDescent="0.3">
      <c r="B345" s="102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103"/>
      <c r="U345" s="93"/>
      <c r="V345" s="94"/>
      <c r="W345" s="94"/>
      <c r="X345" s="94"/>
      <c r="Y345" s="95"/>
      <c r="Z345" s="96"/>
      <c r="AA345" s="96"/>
      <c r="AB345" s="96"/>
      <c r="AC345" s="96"/>
      <c r="AD345" s="95"/>
      <c r="AE345" s="95"/>
      <c r="AF345" s="95"/>
    </row>
    <row r="346" spans="2:32" s="101" customFormat="1" ht="14.25" customHeight="1" x14ac:dyDescent="0.3">
      <c r="B346" s="102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103"/>
      <c r="U346" s="93"/>
      <c r="V346" s="94"/>
      <c r="W346" s="94"/>
      <c r="X346" s="94"/>
      <c r="Y346" s="95"/>
      <c r="Z346" s="96"/>
      <c r="AA346" s="96"/>
      <c r="AB346" s="96"/>
      <c r="AC346" s="96"/>
      <c r="AD346" s="95"/>
      <c r="AE346" s="95"/>
      <c r="AF346" s="95"/>
    </row>
    <row r="347" spans="2:32" s="101" customFormat="1" ht="14.25" customHeight="1" x14ac:dyDescent="0.3">
      <c r="B347" s="102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103"/>
      <c r="U347" s="93"/>
      <c r="V347" s="94"/>
      <c r="W347" s="94"/>
      <c r="X347" s="94"/>
      <c r="Y347" s="95"/>
      <c r="Z347" s="96"/>
      <c r="AA347" s="96"/>
      <c r="AB347" s="96"/>
      <c r="AC347" s="96"/>
      <c r="AD347" s="95"/>
      <c r="AE347" s="95"/>
      <c r="AF347" s="95"/>
    </row>
    <row r="348" spans="2:32" s="101" customFormat="1" ht="14.25" customHeight="1" x14ac:dyDescent="0.3">
      <c r="B348" s="102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103"/>
      <c r="U348" s="93"/>
      <c r="V348" s="94"/>
      <c r="W348" s="94"/>
      <c r="X348" s="94"/>
      <c r="Y348" s="95"/>
      <c r="Z348" s="96"/>
      <c r="AA348" s="96"/>
      <c r="AB348" s="96"/>
      <c r="AC348" s="96"/>
      <c r="AD348" s="95"/>
      <c r="AE348" s="95"/>
      <c r="AF348" s="95"/>
    </row>
    <row r="349" spans="2:32" s="101" customFormat="1" ht="14.25" customHeight="1" x14ac:dyDescent="0.3">
      <c r="B349" s="102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103"/>
      <c r="U349" s="93"/>
      <c r="V349" s="94"/>
      <c r="W349" s="94"/>
      <c r="X349" s="94"/>
      <c r="Y349" s="95"/>
      <c r="Z349" s="96"/>
      <c r="AA349" s="96"/>
      <c r="AB349" s="96"/>
      <c r="AC349" s="96"/>
      <c r="AD349" s="95"/>
      <c r="AE349" s="95"/>
      <c r="AF349" s="95"/>
    </row>
    <row r="350" spans="2:32" s="101" customFormat="1" ht="14.25" customHeight="1" x14ac:dyDescent="0.3">
      <c r="B350" s="102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103"/>
      <c r="U350" s="93"/>
      <c r="V350" s="94"/>
      <c r="W350" s="94"/>
      <c r="X350" s="94"/>
      <c r="Y350" s="95"/>
      <c r="Z350" s="96"/>
      <c r="AA350" s="96"/>
      <c r="AB350" s="96"/>
      <c r="AC350" s="96"/>
      <c r="AD350" s="95"/>
      <c r="AE350" s="95"/>
      <c r="AF350" s="95"/>
    </row>
    <row r="351" spans="2:32" s="101" customFormat="1" ht="14.25" customHeight="1" x14ac:dyDescent="0.3">
      <c r="B351" s="102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103"/>
      <c r="U351" s="93"/>
      <c r="V351" s="94"/>
      <c r="W351" s="94"/>
      <c r="X351" s="94"/>
      <c r="Y351" s="95"/>
      <c r="Z351" s="96"/>
      <c r="AA351" s="96"/>
      <c r="AB351" s="96"/>
      <c r="AC351" s="96"/>
      <c r="AD351" s="95"/>
      <c r="AE351" s="95"/>
      <c r="AF351" s="95"/>
    </row>
    <row r="352" spans="2:32" s="101" customFormat="1" ht="14.25" customHeight="1" x14ac:dyDescent="0.3">
      <c r="B352" s="102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103"/>
      <c r="U352" s="93"/>
      <c r="V352" s="94"/>
      <c r="W352" s="94"/>
      <c r="X352" s="94"/>
      <c r="Y352" s="95"/>
      <c r="Z352" s="96"/>
      <c r="AA352" s="96"/>
      <c r="AB352" s="96"/>
      <c r="AC352" s="96"/>
      <c r="AD352" s="95"/>
      <c r="AE352" s="95"/>
      <c r="AF352" s="95"/>
    </row>
    <row r="353" spans="2:32" s="101" customFormat="1" ht="14.25" customHeight="1" x14ac:dyDescent="0.3">
      <c r="B353" s="102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103"/>
      <c r="U353" s="93"/>
      <c r="V353" s="94"/>
      <c r="W353" s="94"/>
      <c r="X353" s="94"/>
      <c r="Y353" s="95"/>
      <c r="Z353" s="96"/>
      <c r="AA353" s="96"/>
      <c r="AB353" s="96"/>
      <c r="AC353" s="96"/>
      <c r="AD353" s="95"/>
      <c r="AE353" s="95"/>
      <c r="AF353" s="95"/>
    </row>
    <row r="354" spans="2:32" s="101" customFormat="1" ht="14.25" customHeight="1" x14ac:dyDescent="0.3">
      <c r="B354" s="102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103"/>
      <c r="U354" s="93"/>
      <c r="V354" s="94"/>
      <c r="W354" s="94"/>
      <c r="X354" s="94"/>
      <c r="Y354" s="95"/>
      <c r="Z354" s="96"/>
      <c r="AA354" s="96"/>
      <c r="AB354" s="96"/>
      <c r="AC354" s="96"/>
      <c r="AD354" s="95"/>
      <c r="AE354" s="95"/>
      <c r="AF354" s="95"/>
    </row>
    <row r="355" spans="2:32" s="101" customFormat="1" ht="14.25" customHeight="1" x14ac:dyDescent="0.3">
      <c r="B355" s="102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103"/>
      <c r="U355" s="93"/>
      <c r="V355" s="94"/>
      <c r="W355" s="94"/>
      <c r="X355" s="94"/>
      <c r="Y355" s="95"/>
      <c r="Z355" s="96"/>
      <c r="AA355" s="96"/>
      <c r="AB355" s="96"/>
      <c r="AC355" s="96"/>
      <c r="AD355" s="95"/>
      <c r="AE355" s="95"/>
      <c r="AF355" s="95"/>
    </row>
    <row r="356" spans="2:32" s="101" customFormat="1" ht="14.25" customHeight="1" x14ac:dyDescent="0.3">
      <c r="B356" s="102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103"/>
      <c r="U356" s="93"/>
      <c r="V356" s="94"/>
      <c r="W356" s="94"/>
      <c r="X356" s="94"/>
      <c r="Y356" s="95"/>
      <c r="Z356" s="96"/>
      <c r="AA356" s="96"/>
      <c r="AB356" s="96"/>
      <c r="AC356" s="96"/>
      <c r="AD356" s="95"/>
      <c r="AE356" s="95"/>
      <c r="AF356" s="95"/>
    </row>
    <row r="357" spans="2:32" s="101" customFormat="1" ht="14.25" customHeight="1" x14ac:dyDescent="0.3">
      <c r="B357" s="102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103"/>
      <c r="U357" s="93"/>
      <c r="V357" s="94"/>
      <c r="W357" s="94"/>
      <c r="X357" s="94"/>
      <c r="Y357" s="95"/>
      <c r="Z357" s="96"/>
      <c r="AA357" s="96"/>
      <c r="AB357" s="96"/>
      <c r="AC357" s="96"/>
      <c r="AD357" s="95"/>
      <c r="AE357" s="95"/>
      <c r="AF357" s="95"/>
    </row>
    <row r="358" spans="2:32" s="101" customFormat="1" ht="14.25" customHeight="1" x14ac:dyDescent="0.3">
      <c r="B358" s="102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103"/>
      <c r="U358" s="93"/>
      <c r="V358" s="94"/>
      <c r="W358" s="94"/>
      <c r="X358" s="94"/>
      <c r="Y358" s="95"/>
      <c r="Z358" s="96"/>
      <c r="AA358" s="96"/>
      <c r="AB358" s="96"/>
      <c r="AC358" s="96"/>
      <c r="AD358" s="95"/>
      <c r="AE358" s="95"/>
      <c r="AF358" s="95"/>
    </row>
    <row r="359" spans="2:32" s="101" customFormat="1" ht="14.25" customHeight="1" x14ac:dyDescent="0.3">
      <c r="B359" s="102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103"/>
      <c r="U359" s="93"/>
      <c r="V359" s="94"/>
      <c r="W359" s="94"/>
      <c r="X359" s="94"/>
      <c r="Y359" s="95"/>
      <c r="Z359" s="96"/>
      <c r="AA359" s="96"/>
      <c r="AB359" s="96"/>
      <c r="AC359" s="96"/>
      <c r="AD359" s="95"/>
      <c r="AE359" s="95"/>
      <c r="AF359" s="95"/>
    </row>
    <row r="360" spans="2:32" s="101" customFormat="1" ht="14.25" customHeight="1" x14ac:dyDescent="0.3">
      <c r="B360" s="102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103"/>
      <c r="U360" s="93"/>
      <c r="V360" s="94"/>
      <c r="W360" s="94"/>
      <c r="X360" s="94"/>
      <c r="Y360" s="95"/>
      <c r="Z360" s="96"/>
      <c r="AA360" s="96"/>
      <c r="AB360" s="96"/>
      <c r="AC360" s="96"/>
      <c r="AD360" s="95"/>
      <c r="AE360" s="95"/>
      <c r="AF360" s="95"/>
    </row>
    <row r="361" spans="2:32" s="101" customFormat="1" ht="14.25" customHeight="1" x14ac:dyDescent="0.3">
      <c r="B361" s="102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103"/>
      <c r="U361" s="93"/>
      <c r="V361" s="94"/>
      <c r="W361" s="94"/>
      <c r="X361" s="94"/>
      <c r="Y361" s="95"/>
      <c r="Z361" s="96"/>
      <c r="AA361" s="96"/>
      <c r="AB361" s="96"/>
      <c r="AC361" s="96"/>
      <c r="AD361" s="95"/>
      <c r="AE361" s="95"/>
      <c r="AF361" s="95"/>
    </row>
    <row r="362" spans="2:32" s="101" customFormat="1" ht="14.25" customHeight="1" x14ac:dyDescent="0.3">
      <c r="B362" s="102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103"/>
      <c r="U362" s="93"/>
      <c r="V362" s="94"/>
      <c r="W362" s="94"/>
      <c r="X362" s="94"/>
      <c r="Y362" s="95"/>
      <c r="Z362" s="96"/>
      <c r="AA362" s="96"/>
      <c r="AB362" s="96"/>
      <c r="AC362" s="96"/>
      <c r="AD362" s="95"/>
      <c r="AE362" s="95"/>
      <c r="AF362" s="95"/>
    </row>
    <row r="363" spans="2:32" s="101" customFormat="1" ht="14.25" customHeight="1" x14ac:dyDescent="0.3">
      <c r="B363" s="102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103"/>
      <c r="U363" s="93"/>
      <c r="V363" s="94"/>
      <c r="W363" s="94"/>
      <c r="X363" s="94"/>
      <c r="Y363" s="95"/>
      <c r="Z363" s="96"/>
      <c r="AA363" s="96"/>
      <c r="AB363" s="96"/>
      <c r="AC363" s="96"/>
      <c r="AD363" s="95"/>
      <c r="AE363" s="95"/>
      <c r="AF363" s="95"/>
    </row>
    <row r="364" spans="2:32" s="101" customFormat="1" ht="14.25" customHeight="1" x14ac:dyDescent="0.3">
      <c r="B364" s="102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103"/>
      <c r="U364" s="93"/>
      <c r="V364" s="94"/>
      <c r="W364" s="94"/>
      <c r="X364" s="94"/>
      <c r="Y364" s="95"/>
      <c r="Z364" s="96"/>
      <c r="AA364" s="96"/>
      <c r="AB364" s="96"/>
      <c r="AC364" s="96"/>
      <c r="AD364" s="95"/>
      <c r="AE364" s="95"/>
      <c r="AF364" s="95"/>
    </row>
    <row r="365" spans="2:32" s="101" customFormat="1" ht="14.25" customHeight="1" x14ac:dyDescent="0.3">
      <c r="B365" s="102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103"/>
      <c r="U365" s="93"/>
      <c r="V365" s="94"/>
      <c r="W365" s="94"/>
      <c r="X365" s="94"/>
      <c r="Y365" s="95"/>
      <c r="Z365" s="96"/>
      <c r="AA365" s="96"/>
      <c r="AB365" s="96"/>
      <c r="AC365" s="96"/>
      <c r="AD365" s="95"/>
      <c r="AE365" s="95"/>
      <c r="AF365" s="95"/>
    </row>
    <row r="366" spans="2:32" s="101" customFormat="1" ht="14.25" customHeight="1" x14ac:dyDescent="0.3">
      <c r="B366" s="102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103"/>
      <c r="U366" s="93"/>
      <c r="V366" s="94"/>
      <c r="W366" s="94"/>
      <c r="X366" s="94"/>
      <c r="Y366" s="95"/>
      <c r="Z366" s="96"/>
      <c r="AA366" s="96"/>
      <c r="AB366" s="96"/>
      <c r="AC366" s="96"/>
      <c r="AD366" s="95"/>
      <c r="AE366" s="95"/>
      <c r="AF366" s="95"/>
    </row>
    <row r="367" spans="2:32" s="101" customFormat="1" ht="14.25" customHeight="1" x14ac:dyDescent="0.3">
      <c r="B367" s="102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103"/>
      <c r="U367" s="93"/>
      <c r="V367" s="94"/>
      <c r="W367" s="94"/>
      <c r="X367" s="94"/>
      <c r="Y367" s="95"/>
      <c r="Z367" s="96"/>
      <c r="AA367" s="96"/>
      <c r="AB367" s="96"/>
      <c r="AC367" s="96"/>
      <c r="AD367" s="95"/>
      <c r="AE367" s="95"/>
      <c r="AF367" s="95"/>
    </row>
    <row r="368" spans="2:32" s="101" customFormat="1" ht="14.25" customHeight="1" x14ac:dyDescent="0.3">
      <c r="B368" s="102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103"/>
      <c r="U368" s="93"/>
      <c r="V368" s="94"/>
      <c r="W368" s="94"/>
      <c r="X368" s="94"/>
      <c r="Y368" s="95"/>
      <c r="Z368" s="96"/>
      <c r="AA368" s="96"/>
      <c r="AB368" s="96"/>
      <c r="AC368" s="96"/>
      <c r="AD368" s="95"/>
      <c r="AE368" s="95"/>
      <c r="AF368" s="95"/>
    </row>
    <row r="369" spans="2:32" s="101" customFormat="1" ht="14.25" customHeight="1" x14ac:dyDescent="0.3">
      <c r="B369" s="102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103"/>
      <c r="U369" s="93"/>
      <c r="V369" s="94"/>
      <c r="W369" s="94"/>
      <c r="X369" s="94"/>
      <c r="Y369" s="95"/>
      <c r="Z369" s="96"/>
      <c r="AA369" s="96"/>
      <c r="AB369" s="96"/>
      <c r="AC369" s="96"/>
      <c r="AD369" s="95"/>
      <c r="AE369" s="95"/>
      <c r="AF369" s="95"/>
    </row>
    <row r="370" spans="2:32" s="101" customFormat="1" ht="14.25" customHeight="1" x14ac:dyDescent="0.3">
      <c r="B370" s="102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103"/>
      <c r="U370" s="93"/>
      <c r="V370" s="94"/>
      <c r="W370" s="94"/>
      <c r="X370" s="94"/>
      <c r="Y370" s="95"/>
      <c r="Z370" s="96"/>
      <c r="AA370" s="96"/>
      <c r="AB370" s="96"/>
      <c r="AC370" s="96"/>
      <c r="AD370" s="95"/>
      <c r="AE370" s="95"/>
      <c r="AF370" s="95"/>
    </row>
    <row r="371" spans="2:32" s="101" customFormat="1" ht="14.25" customHeight="1" x14ac:dyDescent="0.3">
      <c r="B371" s="102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103"/>
      <c r="U371" s="93"/>
      <c r="V371" s="94"/>
      <c r="W371" s="94"/>
      <c r="X371" s="94"/>
      <c r="Y371" s="95"/>
      <c r="Z371" s="96"/>
      <c r="AA371" s="96"/>
      <c r="AB371" s="96"/>
      <c r="AC371" s="96"/>
      <c r="AD371" s="95"/>
      <c r="AE371" s="95"/>
      <c r="AF371" s="95"/>
    </row>
    <row r="372" spans="2:32" s="101" customFormat="1" ht="14.25" customHeight="1" x14ac:dyDescent="0.3">
      <c r="B372" s="102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103"/>
      <c r="U372" s="93"/>
      <c r="V372" s="94"/>
      <c r="W372" s="94"/>
      <c r="X372" s="94"/>
      <c r="Y372" s="95"/>
      <c r="Z372" s="96"/>
      <c r="AA372" s="96"/>
      <c r="AB372" s="96"/>
      <c r="AC372" s="96"/>
      <c r="AD372" s="95"/>
      <c r="AE372" s="95"/>
      <c r="AF372" s="95"/>
    </row>
    <row r="373" spans="2:32" s="101" customFormat="1" ht="14.25" customHeight="1" x14ac:dyDescent="0.3">
      <c r="B373" s="102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103"/>
      <c r="U373" s="93"/>
      <c r="V373" s="94"/>
      <c r="W373" s="94"/>
      <c r="X373" s="94"/>
      <c r="Y373" s="95"/>
      <c r="Z373" s="96"/>
      <c r="AA373" s="96"/>
      <c r="AB373" s="96"/>
      <c r="AC373" s="96"/>
      <c r="AD373" s="95"/>
      <c r="AE373" s="95"/>
      <c r="AF373" s="95"/>
    </row>
    <row r="374" spans="2:32" s="101" customFormat="1" ht="14.25" customHeight="1" x14ac:dyDescent="0.3">
      <c r="B374" s="102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103"/>
      <c r="U374" s="93"/>
      <c r="V374" s="94"/>
      <c r="W374" s="94"/>
      <c r="X374" s="94"/>
      <c r="Y374" s="95"/>
      <c r="Z374" s="96"/>
      <c r="AA374" s="96"/>
      <c r="AB374" s="96"/>
      <c r="AC374" s="96"/>
      <c r="AD374" s="95"/>
      <c r="AE374" s="95"/>
      <c r="AF374" s="95"/>
    </row>
    <row r="375" spans="2:32" s="101" customFormat="1" ht="14.25" customHeight="1" x14ac:dyDescent="0.3">
      <c r="B375" s="102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103"/>
      <c r="U375" s="93"/>
      <c r="V375" s="94"/>
      <c r="W375" s="94"/>
      <c r="X375" s="94"/>
      <c r="Y375" s="95"/>
      <c r="Z375" s="96"/>
      <c r="AA375" s="96"/>
      <c r="AB375" s="96"/>
      <c r="AC375" s="96"/>
      <c r="AD375" s="95"/>
      <c r="AE375" s="95"/>
      <c r="AF375" s="95"/>
    </row>
    <row r="376" spans="2:32" s="101" customFormat="1" ht="14.25" customHeight="1" x14ac:dyDescent="0.3">
      <c r="B376" s="102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103"/>
      <c r="U376" s="93"/>
      <c r="V376" s="94"/>
      <c r="W376" s="94"/>
      <c r="X376" s="94"/>
      <c r="Y376" s="95"/>
      <c r="Z376" s="96"/>
      <c r="AA376" s="96"/>
      <c r="AB376" s="96"/>
      <c r="AC376" s="96"/>
      <c r="AD376" s="95"/>
      <c r="AE376" s="95"/>
      <c r="AF376" s="95"/>
    </row>
    <row r="377" spans="2:32" s="101" customFormat="1" ht="14.25" customHeight="1" x14ac:dyDescent="0.3">
      <c r="B377" s="102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103"/>
      <c r="U377" s="93"/>
      <c r="V377" s="94"/>
      <c r="W377" s="94"/>
      <c r="X377" s="94"/>
      <c r="Y377" s="95"/>
      <c r="Z377" s="96"/>
      <c r="AA377" s="96"/>
      <c r="AB377" s="96"/>
      <c r="AC377" s="96"/>
      <c r="AD377" s="95"/>
      <c r="AE377" s="95"/>
      <c r="AF377" s="95"/>
    </row>
    <row r="378" spans="2:32" s="101" customFormat="1" ht="14.25" customHeight="1" x14ac:dyDescent="0.3">
      <c r="B378" s="102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103"/>
      <c r="U378" s="93"/>
      <c r="V378" s="94"/>
      <c r="W378" s="94"/>
      <c r="X378" s="94"/>
      <c r="Y378" s="95"/>
      <c r="Z378" s="96"/>
      <c r="AA378" s="96"/>
      <c r="AB378" s="96"/>
      <c r="AC378" s="96"/>
      <c r="AD378" s="95"/>
      <c r="AE378" s="95"/>
      <c r="AF378" s="95"/>
    </row>
    <row r="379" spans="2:32" s="101" customFormat="1" ht="14.25" customHeight="1" x14ac:dyDescent="0.3">
      <c r="B379" s="102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103"/>
      <c r="U379" s="93"/>
      <c r="V379" s="94"/>
      <c r="W379" s="94"/>
      <c r="X379" s="94"/>
      <c r="Y379" s="95"/>
      <c r="Z379" s="96"/>
      <c r="AA379" s="96"/>
      <c r="AB379" s="96"/>
      <c r="AC379" s="96"/>
      <c r="AD379" s="95"/>
      <c r="AE379" s="95"/>
      <c r="AF379" s="95"/>
    </row>
    <row r="380" spans="2:32" s="101" customFormat="1" ht="14.25" customHeight="1" x14ac:dyDescent="0.3">
      <c r="B380" s="102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103"/>
      <c r="U380" s="93"/>
      <c r="V380" s="94"/>
      <c r="W380" s="94"/>
      <c r="X380" s="94"/>
      <c r="Y380" s="95"/>
      <c r="Z380" s="96"/>
      <c r="AA380" s="96"/>
      <c r="AB380" s="96"/>
      <c r="AC380" s="96"/>
      <c r="AD380" s="95"/>
      <c r="AE380" s="95"/>
      <c r="AF380" s="95"/>
    </row>
    <row r="381" spans="2:32" s="101" customFormat="1" ht="14.25" customHeight="1" x14ac:dyDescent="0.3">
      <c r="B381" s="102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103"/>
      <c r="U381" s="93"/>
      <c r="V381" s="94"/>
      <c r="W381" s="94"/>
      <c r="X381" s="94"/>
      <c r="Y381" s="95"/>
      <c r="Z381" s="96"/>
      <c r="AA381" s="96"/>
      <c r="AB381" s="96"/>
      <c r="AC381" s="96"/>
      <c r="AD381" s="95"/>
      <c r="AE381" s="95"/>
      <c r="AF381" s="95"/>
    </row>
    <row r="382" spans="2:32" s="101" customFormat="1" ht="14.25" customHeight="1" x14ac:dyDescent="0.3">
      <c r="B382" s="102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103"/>
      <c r="U382" s="93"/>
      <c r="V382" s="94"/>
      <c r="W382" s="94"/>
      <c r="X382" s="94"/>
      <c r="Y382" s="95"/>
      <c r="Z382" s="96"/>
      <c r="AA382" s="96"/>
      <c r="AB382" s="96"/>
      <c r="AC382" s="96"/>
      <c r="AD382" s="95"/>
      <c r="AE382" s="95"/>
      <c r="AF382" s="95"/>
    </row>
    <row r="383" spans="2:32" s="101" customFormat="1" ht="14.25" customHeight="1" x14ac:dyDescent="0.3">
      <c r="B383" s="102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103"/>
      <c r="U383" s="93"/>
      <c r="V383" s="94"/>
      <c r="W383" s="94"/>
      <c r="X383" s="94"/>
      <c r="Y383" s="95"/>
      <c r="Z383" s="96"/>
      <c r="AA383" s="96"/>
      <c r="AB383" s="96"/>
      <c r="AC383" s="96"/>
      <c r="AD383" s="95"/>
      <c r="AE383" s="95"/>
      <c r="AF383" s="95"/>
    </row>
    <row r="384" spans="2:32" s="101" customFormat="1" ht="14.25" customHeight="1" x14ac:dyDescent="0.3">
      <c r="B384" s="102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103"/>
      <c r="U384" s="93"/>
      <c r="V384" s="94"/>
      <c r="W384" s="94"/>
      <c r="X384" s="94"/>
      <c r="Y384" s="95"/>
      <c r="Z384" s="96"/>
      <c r="AA384" s="96"/>
      <c r="AB384" s="96"/>
      <c r="AC384" s="96"/>
      <c r="AD384" s="95"/>
      <c r="AE384" s="95"/>
      <c r="AF384" s="95"/>
    </row>
    <row r="385" spans="2:32" s="101" customFormat="1" ht="14.25" customHeight="1" x14ac:dyDescent="0.3">
      <c r="B385" s="102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103"/>
      <c r="U385" s="93"/>
      <c r="V385" s="94"/>
      <c r="W385" s="94"/>
      <c r="X385" s="94"/>
      <c r="Y385" s="95"/>
      <c r="Z385" s="96"/>
      <c r="AA385" s="96"/>
      <c r="AB385" s="96"/>
      <c r="AC385" s="96"/>
      <c r="AD385" s="95"/>
      <c r="AE385" s="95"/>
      <c r="AF385" s="95"/>
    </row>
    <row r="386" spans="2:32" s="101" customFormat="1" ht="14.25" customHeight="1" x14ac:dyDescent="0.3">
      <c r="B386" s="102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103"/>
      <c r="U386" s="93"/>
      <c r="V386" s="94"/>
      <c r="W386" s="94"/>
      <c r="X386" s="94"/>
      <c r="Y386" s="95"/>
      <c r="Z386" s="96"/>
      <c r="AA386" s="96"/>
      <c r="AB386" s="96"/>
      <c r="AC386" s="96"/>
      <c r="AD386" s="95"/>
      <c r="AE386" s="95"/>
      <c r="AF386" s="95"/>
    </row>
    <row r="387" spans="2:32" s="101" customFormat="1" ht="14.25" customHeight="1" x14ac:dyDescent="0.3">
      <c r="B387" s="102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103"/>
      <c r="U387" s="93"/>
      <c r="V387" s="94"/>
      <c r="W387" s="94"/>
      <c r="X387" s="94"/>
      <c r="Y387" s="95"/>
      <c r="Z387" s="96"/>
      <c r="AA387" s="96"/>
      <c r="AB387" s="96"/>
      <c r="AC387" s="96"/>
      <c r="AD387" s="95"/>
      <c r="AE387" s="95"/>
      <c r="AF387" s="95"/>
    </row>
    <row r="388" spans="2:32" s="101" customFormat="1" ht="14.25" customHeight="1" x14ac:dyDescent="0.3">
      <c r="B388" s="102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103"/>
      <c r="U388" s="93"/>
      <c r="V388" s="94"/>
      <c r="W388" s="94"/>
      <c r="X388" s="94"/>
      <c r="Y388" s="95"/>
      <c r="Z388" s="96"/>
      <c r="AA388" s="96"/>
      <c r="AB388" s="96"/>
      <c r="AC388" s="96"/>
      <c r="AD388" s="95"/>
      <c r="AE388" s="95"/>
      <c r="AF388" s="95"/>
    </row>
    <row r="389" spans="2:32" s="101" customFormat="1" ht="14.25" customHeight="1" x14ac:dyDescent="0.3">
      <c r="B389" s="102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103"/>
      <c r="U389" s="93"/>
      <c r="V389" s="94"/>
      <c r="W389" s="94"/>
      <c r="X389" s="94"/>
      <c r="Y389" s="95"/>
      <c r="Z389" s="96"/>
      <c r="AA389" s="96"/>
      <c r="AB389" s="96"/>
      <c r="AC389" s="96"/>
      <c r="AD389" s="95"/>
      <c r="AE389" s="95"/>
      <c r="AF389" s="95"/>
    </row>
    <row r="390" spans="2:32" s="101" customFormat="1" ht="14.25" customHeight="1" x14ac:dyDescent="0.3">
      <c r="B390" s="102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103"/>
      <c r="U390" s="93"/>
      <c r="V390" s="94"/>
      <c r="W390" s="94"/>
      <c r="X390" s="94"/>
      <c r="Y390" s="95"/>
      <c r="Z390" s="96"/>
      <c r="AA390" s="96"/>
      <c r="AB390" s="96"/>
      <c r="AC390" s="96"/>
      <c r="AD390" s="95"/>
      <c r="AE390" s="95"/>
      <c r="AF390" s="95"/>
    </row>
    <row r="391" spans="2:32" s="101" customFormat="1" ht="14.25" customHeight="1" x14ac:dyDescent="0.3">
      <c r="B391" s="102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103"/>
      <c r="U391" s="93"/>
      <c r="V391" s="94"/>
      <c r="W391" s="94"/>
      <c r="X391" s="94"/>
      <c r="Y391" s="95"/>
      <c r="Z391" s="96"/>
      <c r="AA391" s="96"/>
      <c r="AB391" s="96"/>
      <c r="AC391" s="96"/>
      <c r="AD391" s="95"/>
      <c r="AE391" s="95"/>
      <c r="AF391" s="95"/>
    </row>
    <row r="392" spans="2:32" s="101" customFormat="1" ht="14.25" customHeight="1" x14ac:dyDescent="0.3">
      <c r="B392" s="102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103"/>
      <c r="U392" s="93"/>
      <c r="V392" s="94"/>
      <c r="W392" s="94"/>
      <c r="X392" s="94"/>
      <c r="Y392" s="95"/>
      <c r="Z392" s="96"/>
      <c r="AA392" s="96"/>
      <c r="AB392" s="96"/>
      <c r="AC392" s="96"/>
      <c r="AD392" s="95"/>
      <c r="AE392" s="95"/>
      <c r="AF392" s="95"/>
    </row>
    <row r="393" spans="2:32" s="101" customFormat="1" ht="14.25" customHeight="1" x14ac:dyDescent="0.3">
      <c r="B393" s="102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103"/>
      <c r="U393" s="93"/>
      <c r="V393" s="94"/>
      <c r="W393" s="94"/>
      <c r="X393" s="94"/>
      <c r="Y393" s="95"/>
      <c r="Z393" s="96"/>
      <c r="AA393" s="96"/>
      <c r="AB393" s="96"/>
      <c r="AC393" s="96"/>
      <c r="AD393" s="95"/>
      <c r="AE393" s="95"/>
      <c r="AF393" s="95"/>
    </row>
    <row r="394" spans="2:32" s="101" customFormat="1" ht="14.25" customHeight="1" x14ac:dyDescent="0.3">
      <c r="B394" s="102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103"/>
      <c r="U394" s="93"/>
      <c r="V394" s="94"/>
      <c r="W394" s="94"/>
      <c r="X394" s="94"/>
      <c r="Y394" s="95"/>
      <c r="Z394" s="96"/>
      <c r="AA394" s="96"/>
      <c r="AB394" s="96"/>
      <c r="AC394" s="96"/>
      <c r="AD394" s="95"/>
      <c r="AE394" s="95"/>
      <c r="AF394" s="95"/>
    </row>
    <row r="395" spans="2:32" s="101" customFormat="1" ht="14.25" customHeight="1" x14ac:dyDescent="0.3">
      <c r="B395" s="102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103"/>
      <c r="U395" s="93"/>
      <c r="V395" s="94"/>
      <c r="W395" s="94"/>
      <c r="X395" s="94"/>
      <c r="Y395" s="95"/>
      <c r="Z395" s="96"/>
      <c r="AA395" s="96"/>
      <c r="AB395" s="96"/>
      <c r="AC395" s="96"/>
      <c r="AD395" s="95"/>
      <c r="AE395" s="95"/>
      <c r="AF395" s="95"/>
    </row>
    <row r="396" spans="2:32" s="101" customFormat="1" ht="14.25" customHeight="1" x14ac:dyDescent="0.3">
      <c r="B396" s="102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103"/>
      <c r="U396" s="93"/>
      <c r="V396" s="94"/>
      <c r="W396" s="94"/>
      <c r="X396" s="94"/>
      <c r="Y396" s="95"/>
      <c r="Z396" s="96"/>
      <c r="AA396" s="96"/>
      <c r="AB396" s="96"/>
      <c r="AC396" s="96"/>
      <c r="AD396" s="95"/>
      <c r="AE396" s="95"/>
      <c r="AF396" s="95"/>
    </row>
    <row r="397" spans="2:32" s="101" customFormat="1" ht="14.25" customHeight="1" x14ac:dyDescent="0.3">
      <c r="B397" s="102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103"/>
      <c r="U397" s="93"/>
      <c r="V397" s="94"/>
      <c r="W397" s="94"/>
      <c r="X397" s="94"/>
      <c r="Y397" s="95"/>
      <c r="Z397" s="96"/>
      <c r="AA397" s="96"/>
      <c r="AB397" s="96"/>
      <c r="AC397" s="96"/>
      <c r="AD397" s="95"/>
      <c r="AE397" s="95"/>
      <c r="AF397" s="95"/>
    </row>
    <row r="398" spans="2:32" s="101" customFormat="1" ht="14.25" customHeight="1" x14ac:dyDescent="0.3">
      <c r="B398" s="102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103"/>
      <c r="U398" s="93"/>
      <c r="V398" s="94"/>
      <c r="W398" s="94"/>
      <c r="X398" s="94"/>
      <c r="Y398" s="95"/>
      <c r="Z398" s="96"/>
      <c r="AA398" s="96"/>
      <c r="AB398" s="96"/>
      <c r="AC398" s="96"/>
      <c r="AD398" s="95"/>
      <c r="AE398" s="95"/>
      <c r="AF398" s="95"/>
    </row>
    <row r="399" spans="2:32" s="101" customFormat="1" ht="14.25" customHeight="1" x14ac:dyDescent="0.3">
      <c r="B399" s="102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103"/>
      <c r="U399" s="93"/>
      <c r="V399" s="94"/>
      <c r="W399" s="94"/>
      <c r="X399" s="94"/>
      <c r="Y399" s="95"/>
      <c r="Z399" s="96"/>
      <c r="AA399" s="96"/>
      <c r="AB399" s="96"/>
      <c r="AC399" s="96"/>
      <c r="AD399" s="95"/>
      <c r="AE399" s="95"/>
      <c r="AF399" s="95"/>
    </row>
    <row r="400" spans="2:32" s="101" customFormat="1" ht="14.25" customHeight="1" x14ac:dyDescent="0.3">
      <c r="B400" s="102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103"/>
      <c r="U400" s="93"/>
      <c r="V400" s="94"/>
      <c r="W400" s="94"/>
      <c r="X400" s="94"/>
      <c r="Y400" s="95"/>
      <c r="Z400" s="96"/>
      <c r="AA400" s="96"/>
      <c r="AB400" s="96"/>
      <c r="AC400" s="96"/>
      <c r="AD400" s="95"/>
      <c r="AE400" s="95"/>
      <c r="AF400" s="95"/>
    </row>
    <row r="401" spans="2:32" s="101" customFormat="1" ht="14.25" customHeight="1" x14ac:dyDescent="0.3">
      <c r="B401" s="102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103"/>
      <c r="U401" s="93"/>
      <c r="V401" s="94"/>
      <c r="W401" s="94"/>
      <c r="X401" s="94"/>
      <c r="Y401" s="95"/>
      <c r="Z401" s="96"/>
      <c r="AA401" s="96"/>
      <c r="AB401" s="96"/>
      <c r="AC401" s="96"/>
      <c r="AD401" s="95"/>
      <c r="AE401" s="95"/>
      <c r="AF401" s="95"/>
    </row>
    <row r="402" spans="2:32" s="101" customFormat="1" ht="14.25" customHeight="1" x14ac:dyDescent="0.3">
      <c r="B402" s="102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103"/>
      <c r="U402" s="93"/>
      <c r="V402" s="94"/>
      <c r="W402" s="94"/>
      <c r="X402" s="94"/>
      <c r="Y402" s="95"/>
      <c r="Z402" s="96"/>
      <c r="AA402" s="96"/>
      <c r="AB402" s="96"/>
      <c r="AC402" s="96"/>
      <c r="AD402" s="95"/>
      <c r="AE402" s="95"/>
      <c r="AF402" s="95"/>
    </row>
    <row r="403" spans="2:32" s="101" customFormat="1" ht="14.25" customHeight="1" x14ac:dyDescent="0.3">
      <c r="B403" s="102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103"/>
      <c r="U403" s="93"/>
      <c r="V403" s="94"/>
      <c r="W403" s="94"/>
      <c r="X403" s="94"/>
      <c r="Y403" s="95"/>
      <c r="Z403" s="96"/>
      <c r="AA403" s="96"/>
      <c r="AB403" s="96"/>
      <c r="AC403" s="96"/>
      <c r="AD403" s="95"/>
      <c r="AE403" s="95"/>
      <c r="AF403" s="95"/>
    </row>
    <row r="404" spans="2:32" s="101" customFormat="1" ht="14.25" customHeight="1" x14ac:dyDescent="0.3">
      <c r="B404" s="102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103"/>
      <c r="U404" s="93"/>
      <c r="V404" s="94"/>
      <c r="W404" s="94"/>
      <c r="X404" s="94"/>
      <c r="Y404" s="95"/>
      <c r="Z404" s="96"/>
      <c r="AA404" s="96"/>
      <c r="AB404" s="96"/>
      <c r="AC404" s="96"/>
      <c r="AD404" s="95"/>
      <c r="AE404" s="95"/>
      <c r="AF404" s="95"/>
    </row>
    <row r="405" spans="2:32" s="101" customFormat="1" ht="14.25" customHeight="1" x14ac:dyDescent="0.3">
      <c r="B405" s="102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103"/>
      <c r="U405" s="93"/>
      <c r="V405" s="94"/>
      <c r="W405" s="94"/>
      <c r="X405" s="94"/>
      <c r="Y405" s="95"/>
      <c r="Z405" s="96"/>
      <c r="AA405" s="96"/>
      <c r="AB405" s="96"/>
      <c r="AC405" s="96"/>
      <c r="AD405" s="95"/>
      <c r="AE405" s="95"/>
      <c r="AF405" s="95"/>
    </row>
    <row r="406" spans="2:32" s="101" customFormat="1" ht="14.25" customHeight="1" x14ac:dyDescent="0.3">
      <c r="B406" s="102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103"/>
      <c r="U406" s="93"/>
      <c r="V406" s="94"/>
      <c r="W406" s="94"/>
      <c r="X406" s="94"/>
      <c r="Y406" s="95"/>
      <c r="Z406" s="96"/>
      <c r="AA406" s="96"/>
      <c r="AB406" s="96"/>
      <c r="AC406" s="96"/>
      <c r="AD406" s="95"/>
      <c r="AE406" s="95"/>
      <c r="AF406" s="95"/>
    </row>
    <row r="407" spans="2:32" s="101" customFormat="1" ht="14.25" customHeight="1" x14ac:dyDescent="0.3">
      <c r="B407" s="102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103"/>
      <c r="U407" s="93"/>
      <c r="V407" s="94"/>
      <c r="W407" s="94"/>
      <c r="X407" s="94"/>
      <c r="Y407" s="95"/>
      <c r="Z407" s="96"/>
      <c r="AA407" s="96"/>
      <c r="AB407" s="96"/>
      <c r="AC407" s="96"/>
      <c r="AD407" s="95"/>
      <c r="AE407" s="95"/>
      <c r="AF407" s="95"/>
    </row>
    <row r="408" spans="2:32" s="101" customFormat="1" ht="14.25" customHeight="1" x14ac:dyDescent="0.3">
      <c r="B408" s="102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103"/>
      <c r="U408" s="93"/>
      <c r="V408" s="94"/>
      <c r="W408" s="94"/>
      <c r="X408" s="94"/>
      <c r="Y408" s="95"/>
      <c r="Z408" s="96"/>
      <c r="AA408" s="96"/>
      <c r="AB408" s="96"/>
      <c r="AC408" s="96"/>
      <c r="AD408" s="95"/>
      <c r="AE408" s="95"/>
      <c r="AF408" s="95"/>
    </row>
    <row r="409" spans="2:32" s="101" customFormat="1" ht="14.25" customHeight="1" x14ac:dyDescent="0.3">
      <c r="B409" s="102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103"/>
      <c r="U409" s="93"/>
      <c r="V409" s="94"/>
      <c r="W409" s="94"/>
      <c r="X409" s="94"/>
      <c r="Y409" s="95"/>
      <c r="Z409" s="96"/>
      <c r="AA409" s="96"/>
      <c r="AB409" s="96"/>
      <c r="AC409" s="96"/>
      <c r="AD409" s="95"/>
      <c r="AE409" s="95"/>
      <c r="AF409" s="95"/>
    </row>
    <row r="410" spans="2:32" s="101" customFormat="1" ht="14.25" customHeight="1" x14ac:dyDescent="0.3">
      <c r="B410" s="102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103"/>
      <c r="U410" s="93"/>
      <c r="V410" s="94"/>
      <c r="W410" s="94"/>
      <c r="X410" s="94"/>
      <c r="Y410" s="95"/>
      <c r="Z410" s="96"/>
      <c r="AA410" s="96"/>
      <c r="AB410" s="96"/>
      <c r="AC410" s="96"/>
      <c r="AD410" s="95"/>
      <c r="AE410" s="95"/>
      <c r="AF410" s="95"/>
    </row>
    <row r="411" spans="2:32" s="101" customFormat="1" ht="14.25" customHeight="1" x14ac:dyDescent="0.3">
      <c r="B411" s="102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103"/>
      <c r="U411" s="93"/>
      <c r="V411" s="94"/>
      <c r="W411" s="94"/>
      <c r="X411" s="94"/>
      <c r="Y411" s="95"/>
      <c r="Z411" s="96"/>
      <c r="AA411" s="96"/>
      <c r="AB411" s="96"/>
      <c r="AC411" s="96"/>
      <c r="AD411" s="95"/>
      <c r="AE411" s="95"/>
      <c r="AF411" s="95"/>
    </row>
    <row r="412" spans="2:32" s="101" customFormat="1" ht="14.25" customHeight="1" x14ac:dyDescent="0.3">
      <c r="B412" s="102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103"/>
      <c r="U412" s="93"/>
      <c r="V412" s="94"/>
      <c r="W412" s="94"/>
      <c r="X412" s="94"/>
      <c r="Y412" s="95"/>
      <c r="Z412" s="96"/>
      <c r="AA412" s="96"/>
      <c r="AB412" s="96"/>
      <c r="AC412" s="96"/>
      <c r="AD412" s="95"/>
      <c r="AE412" s="95"/>
      <c r="AF412" s="95"/>
    </row>
    <row r="413" spans="2:32" s="101" customFormat="1" ht="14.25" customHeight="1" x14ac:dyDescent="0.3">
      <c r="B413" s="102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103"/>
      <c r="U413" s="93"/>
      <c r="V413" s="94"/>
      <c r="W413" s="94"/>
      <c r="X413" s="94"/>
      <c r="Y413" s="95"/>
      <c r="Z413" s="96"/>
      <c r="AA413" s="96"/>
      <c r="AB413" s="96"/>
      <c r="AC413" s="96"/>
      <c r="AD413" s="95"/>
      <c r="AE413" s="95"/>
      <c r="AF413" s="95"/>
    </row>
    <row r="414" spans="2:32" s="101" customFormat="1" ht="14.25" customHeight="1" x14ac:dyDescent="0.3">
      <c r="B414" s="102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103"/>
      <c r="U414" s="93"/>
      <c r="V414" s="94"/>
      <c r="W414" s="94"/>
      <c r="X414" s="94"/>
      <c r="Y414" s="95"/>
      <c r="Z414" s="96"/>
      <c r="AA414" s="96"/>
      <c r="AB414" s="96"/>
      <c r="AC414" s="96"/>
      <c r="AD414" s="95"/>
      <c r="AE414" s="95"/>
      <c r="AF414" s="95"/>
    </row>
    <row r="415" spans="2:32" s="101" customFormat="1" ht="14.25" customHeight="1" x14ac:dyDescent="0.3">
      <c r="B415" s="102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103"/>
      <c r="U415" s="93"/>
      <c r="V415" s="94"/>
      <c r="W415" s="94"/>
      <c r="X415" s="94"/>
      <c r="Y415" s="95"/>
      <c r="Z415" s="96"/>
      <c r="AA415" s="96"/>
      <c r="AB415" s="96"/>
      <c r="AC415" s="96"/>
      <c r="AD415" s="95"/>
      <c r="AE415" s="95"/>
      <c r="AF415" s="95"/>
    </row>
    <row r="416" spans="2:32" s="101" customFormat="1" ht="14.25" customHeight="1" x14ac:dyDescent="0.3">
      <c r="B416" s="102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103"/>
      <c r="U416" s="93"/>
      <c r="V416" s="94"/>
      <c r="W416" s="94"/>
      <c r="X416" s="94"/>
      <c r="Y416" s="95"/>
      <c r="Z416" s="96"/>
      <c r="AA416" s="96"/>
      <c r="AB416" s="96"/>
      <c r="AC416" s="96"/>
      <c r="AD416" s="95"/>
      <c r="AE416" s="95"/>
      <c r="AF416" s="95"/>
    </row>
    <row r="417" spans="2:32" s="101" customFormat="1" ht="14.25" customHeight="1" x14ac:dyDescent="0.3">
      <c r="B417" s="102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103"/>
      <c r="U417" s="93"/>
      <c r="V417" s="94"/>
      <c r="W417" s="94"/>
      <c r="X417" s="94"/>
      <c r="Y417" s="95"/>
      <c r="Z417" s="96"/>
      <c r="AA417" s="96"/>
      <c r="AB417" s="96"/>
      <c r="AC417" s="96"/>
      <c r="AD417" s="95"/>
      <c r="AE417" s="95"/>
      <c r="AF417" s="95"/>
    </row>
    <row r="418" spans="2:32" s="101" customFormat="1" ht="14.25" customHeight="1" x14ac:dyDescent="0.3">
      <c r="B418" s="102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103"/>
      <c r="U418" s="93"/>
      <c r="V418" s="94"/>
      <c r="W418" s="94"/>
      <c r="X418" s="94"/>
      <c r="Y418" s="95"/>
      <c r="Z418" s="96"/>
      <c r="AA418" s="96"/>
      <c r="AB418" s="96"/>
      <c r="AC418" s="96"/>
      <c r="AD418" s="95"/>
      <c r="AE418" s="95"/>
      <c r="AF418" s="95"/>
    </row>
    <row r="419" spans="2:32" s="101" customFormat="1" ht="14.25" customHeight="1" x14ac:dyDescent="0.3">
      <c r="B419" s="102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103"/>
      <c r="U419" s="93"/>
      <c r="V419" s="94"/>
      <c r="W419" s="94"/>
      <c r="X419" s="94"/>
      <c r="Y419" s="95"/>
      <c r="Z419" s="96"/>
      <c r="AA419" s="96"/>
      <c r="AB419" s="96"/>
      <c r="AC419" s="96"/>
      <c r="AD419" s="95"/>
      <c r="AE419" s="95"/>
      <c r="AF419" s="95"/>
    </row>
    <row r="420" spans="2:32" s="101" customFormat="1" ht="14.25" customHeight="1" x14ac:dyDescent="0.3">
      <c r="B420" s="102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103"/>
      <c r="U420" s="93"/>
      <c r="V420" s="94"/>
      <c r="W420" s="94"/>
      <c r="X420" s="94"/>
      <c r="Y420" s="95"/>
      <c r="Z420" s="96"/>
      <c r="AA420" s="96"/>
      <c r="AB420" s="96"/>
      <c r="AC420" s="96"/>
      <c r="AD420" s="95"/>
      <c r="AE420" s="95"/>
      <c r="AF420" s="95"/>
    </row>
    <row r="421" spans="2:32" s="101" customFormat="1" ht="14.25" customHeight="1" x14ac:dyDescent="0.3">
      <c r="B421" s="102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103"/>
      <c r="U421" s="93"/>
      <c r="V421" s="94"/>
      <c r="W421" s="94"/>
      <c r="X421" s="94"/>
      <c r="Y421" s="95"/>
      <c r="Z421" s="96"/>
      <c r="AA421" s="96"/>
      <c r="AB421" s="96"/>
      <c r="AC421" s="96"/>
      <c r="AD421" s="95"/>
      <c r="AE421" s="95"/>
      <c r="AF421" s="95"/>
    </row>
    <row r="422" spans="2:32" s="101" customFormat="1" ht="14.25" customHeight="1" x14ac:dyDescent="0.3">
      <c r="B422" s="102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103"/>
      <c r="U422" s="93"/>
      <c r="V422" s="94"/>
      <c r="W422" s="94"/>
      <c r="X422" s="94"/>
      <c r="Y422" s="95"/>
      <c r="Z422" s="96"/>
      <c r="AA422" s="96"/>
      <c r="AB422" s="96"/>
      <c r="AC422" s="96"/>
      <c r="AD422" s="95"/>
      <c r="AE422" s="95"/>
      <c r="AF422" s="95"/>
    </row>
    <row r="423" spans="2:32" s="101" customFormat="1" ht="14.25" customHeight="1" x14ac:dyDescent="0.3">
      <c r="B423" s="102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103"/>
      <c r="U423" s="93"/>
      <c r="V423" s="94"/>
      <c r="W423" s="94"/>
      <c r="X423" s="94"/>
      <c r="Y423" s="95"/>
      <c r="Z423" s="96"/>
      <c r="AA423" s="96"/>
      <c r="AB423" s="96"/>
      <c r="AC423" s="96"/>
      <c r="AD423" s="95"/>
      <c r="AE423" s="95"/>
      <c r="AF423" s="95"/>
    </row>
    <row r="424" spans="2:32" s="101" customFormat="1" ht="14.25" customHeight="1" x14ac:dyDescent="0.3">
      <c r="B424" s="102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103"/>
      <c r="U424" s="93"/>
      <c r="V424" s="94"/>
      <c r="W424" s="94"/>
      <c r="X424" s="94"/>
      <c r="Y424" s="95"/>
      <c r="Z424" s="96"/>
      <c r="AA424" s="96"/>
      <c r="AB424" s="96"/>
      <c r="AC424" s="96"/>
      <c r="AD424" s="95"/>
      <c r="AE424" s="95"/>
      <c r="AF424" s="95"/>
    </row>
    <row r="425" spans="2:32" s="101" customFormat="1" ht="14.25" customHeight="1" x14ac:dyDescent="0.3">
      <c r="B425" s="102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103"/>
      <c r="U425" s="93"/>
      <c r="V425" s="94"/>
      <c r="W425" s="94"/>
      <c r="X425" s="94"/>
      <c r="Y425" s="95"/>
      <c r="Z425" s="96"/>
      <c r="AA425" s="96"/>
      <c r="AB425" s="96"/>
      <c r="AC425" s="96"/>
      <c r="AD425" s="95"/>
      <c r="AE425" s="95"/>
      <c r="AF425" s="95"/>
    </row>
    <row r="426" spans="2:32" s="101" customFormat="1" ht="14.25" customHeight="1" x14ac:dyDescent="0.3">
      <c r="B426" s="102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103"/>
      <c r="U426" s="93"/>
      <c r="V426" s="94"/>
      <c r="W426" s="94"/>
      <c r="X426" s="94"/>
      <c r="Y426" s="95"/>
      <c r="Z426" s="96"/>
      <c r="AA426" s="96"/>
      <c r="AB426" s="96"/>
      <c r="AC426" s="96"/>
      <c r="AD426" s="95"/>
      <c r="AE426" s="95"/>
      <c r="AF426" s="95"/>
    </row>
    <row r="427" spans="2:32" s="101" customFormat="1" ht="14.25" customHeight="1" x14ac:dyDescent="0.3">
      <c r="B427" s="102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103"/>
      <c r="U427" s="93"/>
      <c r="V427" s="94"/>
      <c r="W427" s="94"/>
      <c r="X427" s="94"/>
      <c r="Y427" s="95"/>
      <c r="Z427" s="96"/>
      <c r="AA427" s="96"/>
      <c r="AB427" s="96"/>
      <c r="AC427" s="96"/>
      <c r="AD427" s="95"/>
      <c r="AE427" s="95"/>
      <c r="AF427" s="95"/>
    </row>
    <row r="428" spans="2:32" s="101" customFormat="1" ht="14.25" customHeight="1" x14ac:dyDescent="0.3">
      <c r="B428" s="102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103"/>
      <c r="U428" s="93"/>
      <c r="V428" s="94"/>
      <c r="W428" s="94"/>
      <c r="X428" s="94"/>
      <c r="Y428" s="95"/>
      <c r="Z428" s="96"/>
      <c r="AA428" s="96"/>
      <c r="AB428" s="96"/>
      <c r="AC428" s="96"/>
      <c r="AD428" s="95"/>
      <c r="AE428" s="95"/>
      <c r="AF428" s="95"/>
    </row>
    <row r="429" spans="2:32" s="101" customFormat="1" ht="14.25" customHeight="1" x14ac:dyDescent="0.3">
      <c r="B429" s="102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103"/>
      <c r="U429" s="93"/>
      <c r="V429" s="94"/>
      <c r="W429" s="94"/>
      <c r="X429" s="94"/>
      <c r="Y429" s="95"/>
      <c r="Z429" s="96"/>
      <c r="AA429" s="96"/>
      <c r="AB429" s="96"/>
      <c r="AC429" s="96"/>
      <c r="AD429" s="95"/>
      <c r="AE429" s="95"/>
      <c r="AF429" s="95"/>
    </row>
    <row r="430" spans="2:32" s="101" customFormat="1" ht="14.25" customHeight="1" x14ac:dyDescent="0.3">
      <c r="B430" s="102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103"/>
      <c r="U430" s="93"/>
      <c r="V430" s="94"/>
      <c r="W430" s="94"/>
      <c r="X430" s="94"/>
      <c r="Y430" s="95"/>
      <c r="Z430" s="96"/>
      <c r="AA430" s="96"/>
      <c r="AB430" s="96"/>
      <c r="AC430" s="96"/>
      <c r="AD430" s="95"/>
      <c r="AE430" s="95"/>
      <c r="AF430" s="95"/>
    </row>
    <row r="431" spans="2:32" s="101" customFormat="1" ht="14.25" customHeight="1" x14ac:dyDescent="0.3">
      <c r="B431" s="102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103"/>
      <c r="U431" s="93"/>
      <c r="V431" s="94"/>
      <c r="W431" s="94"/>
      <c r="X431" s="94"/>
      <c r="Y431" s="95"/>
      <c r="Z431" s="96"/>
      <c r="AA431" s="96"/>
      <c r="AB431" s="96"/>
      <c r="AC431" s="96"/>
      <c r="AD431" s="95"/>
      <c r="AE431" s="95"/>
      <c r="AF431" s="95"/>
    </row>
    <row r="432" spans="2:32" s="101" customFormat="1" ht="14.25" customHeight="1" x14ac:dyDescent="0.3">
      <c r="B432" s="102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103"/>
      <c r="U432" s="93"/>
      <c r="V432" s="94"/>
      <c r="W432" s="94"/>
      <c r="X432" s="94"/>
      <c r="Y432" s="95"/>
      <c r="Z432" s="96"/>
      <c r="AA432" s="96"/>
      <c r="AB432" s="96"/>
      <c r="AC432" s="96"/>
      <c r="AD432" s="95"/>
      <c r="AE432" s="95"/>
      <c r="AF432" s="95"/>
    </row>
    <row r="433" spans="2:32" s="101" customFormat="1" ht="14.25" customHeight="1" x14ac:dyDescent="0.3">
      <c r="B433" s="102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103"/>
      <c r="U433" s="93"/>
      <c r="V433" s="94"/>
      <c r="W433" s="94"/>
      <c r="X433" s="94"/>
      <c r="Y433" s="95"/>
      <c r="Z433" s="96"/>
      <c r="AA433" s="96"/>
      <c r="AB433" s="96"/>
      <c r="AC433" s="96"/>
      <c r="AD433" s="95"/>
      <c r="AE433" s="95"/>
      <c r="AF433" s="95"/>
    </row>
    <row r="434" spans="2:32" s="101" customFormat="1" ht="14.25" customHeight="1" x14ac:dyDescent="0.3">
      <c r="B434" s="102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103"/>
      <c r="U434" s="93"/>
      <c r="V434" s="94"/>
      <c r="W434" s="94"/>
      <c r="X434" s="94"/>
      <c r="Y434" s="95"/>
      <c r="Z434" s="96"/>
      <c r="AA434" s="96"/>
      <c r="AB434" s="96"/>
      <c r="AC434" s="96"/>
      <c r="AD434" s="95"/>
      <c r="AE434" s="95"/>
      <c r="AF434" s="95"/>
    </row>
    <row r="435" spans="2:32" s="101" customFormat="1" ht="14.25" customHeight="1" x14ac:dyDescent="0.3">
      <c r="B435" s="102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103"/>
      <c r="U435" s="93"/>
      <c r="V435" s="94"/>
      <c r="W435" s="94"/>
      <c r="X435" s="94"/>
      <c r="Y435" s="95"/>
      <c r="Z435" s="96"/>
      <c r="AA435" s="96"/>
      <c r="AB435" s="96"/>
      <c r="AC435" s="96"/>
      <c r="AD435" s="95"/>
      <c r="AE435" s="95"/>
      <c r="AF435" s="95"/>
    </row>
    <row r="436" spans="2:32" s="101" customFormat="1" ht="14.25" customHeight="1" x14ac:dyDescent="0.3">
      <c r="B436" s="102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103"/>
      <c r="U436" s="93"/>
      <c r="V436" s="94"/>
      <c r="W436" s="94"/>
      <c r="X436" s="94"/>
      <c r="Y436" s="95"/>
      <c r="Z436" s="96"/>
      <c r="AA436" s="96"/>
      <c r="AB436" s="96"/>
      <c r="AC436" s="96"/>
      <c r="AD436" s="95"/>
      <c r="AE436" s="95"/>
      <c r="AF436" s="95"/>
    </row>
    <row r="437" spans="2:32" s="101" customFormat="1" ht="14.25" customHeight="1" x14ac:dyDescent="0.3">
      <c r="B437" s="102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103"/>
      <c r="U437" s="93"/>
      <c r="V437" s="94"/>
      <c r="W437" s="94"/>
      <c r="X437" s="94"/>
      <c r="Y437" s="95"/>
      <c r="Z437" s="96"/>
      <c r="AA437" s="96"/>
      <c r="AB437" s="96"/>
      <c r="AC437" s="96"/>
      <c r="AD437" s="95"/>
      <c r="AE437" s="95"/>
      <c r="AF437" s="95"/>
    </row>
    <row r="438" spans="2:32" s="101" customFormat="1" ht="14.25" customHeight="1" x14ac:dyDescent="0.3">
      <c r="B438" s="102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103"/>
      <c r="U438" s="93"/>
      <c r="V438" s="94"/>
      <c r="W438" s="94"/>
      <c r="X438" s="94"/>
      <c r="Y438" s="95"/>
      <c r="Z438" s="96"/>
      <c r="AA438" s="96"/>
      <c r="AB438" s="96"/>
      <c r="AC438" s="96"/>
      <c r="AD438" s="95"/>
      <c r="AE438" s="95"/>
      <c r="AF438" s="95"/>
    </row>
    <row r="439" spans="2:32" s="101" customFormat="1" ht="14.25" customHeight="1" x14ac:dyDescent="0.3">
      <c r="B439" s="102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103"/>
      <c r="U439" s="93"/>
      <c r="V439" s="94"/>
      <c r="W439" s="94"/>
      <c r="X439" s="94"/>
      <c r="Y439" s="95"/>
      <c r="Z439" s="96"/>
      <c r="AA439" s="96"/>
      <c r="AB439" s="96"/>
      <c r="AC439" s="96"/>
      <c r="AD439" s="95"/>
      <c r="AE439" s="95"/>
      <c r="AF439" s="95"/>
    </row>
    <row r="440" spans="2:32" s="101" customFormat="1" ht="14.25" customHeight="1" x14ac:dyDescent="0.3">
      <c r="B440" s="102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103"/>
      <c r="U440" s="93"/>
      <c r="V440" s="94"/>
      <c r="W440" s="94"/>
      <c r="X440" s="94"/>
      <c r="Y440" s="95"/>
      <c r="Z440" s="96"/>
      <c r="AA440" s="96"/>
      <c r="AB440" s="96"/>
      <c r="AC440" s="96"/>
      <c r="AD440" s="95"/>
      <c r="AE440" s="95"/>
      <c r="AF440" s="95"/>
    </row>
    <row r="441" spans="2:32" s="101" customFormat="1" ht="14.25" customHeight="1" x14ac:dyDescent="0.3">
      <c r="B441" s="102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103"/>
      <c r="U441" s="93"/>
      <c r="V441" s="94"/>
      <c r="W441" s="94"/>
      <c r="X441" s="94"/>
      <c r="Y441" s="95"/>
      <c r="Z441" s="96"/>
      <c r="AA441" s="96"/>
      <c r="AB441" s="96"/>
      <c r="AC441" s="96"/>
      <c r="AD441" s="95"/>
      <c r="AE441" s="95"/>
      <c r="AF441" s="95"/>
    </row>
    <row r="442" spans="2:32" s="101" customFormat="1" ht="14.25" customHeight="1" x14ac:dyDescent="0.3">
      <c r="B442" s="102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103"/>
      <c r="U442" s="93"/>
      <c r="V442" s="94"/>
      <c r="W442" s="94"/>
      <c r="X442" s="94"/>
      <c r="Y442" s="95"/>
      <c r="Z442" s="96"/>
      <c r="AA442" s="96"/>
      <c r="AB442" s="96"/>
      <c r="AC442" s="96"/>
      <c r="AD442" s="95"/>
      <c r="AE442" s="95"/>
      <c r="AF442" s="95"/>
    </row>
    <row r="443" spans="2:32" s="101" customFormat="1" ht="14.25" customHeight="1" x14ac:dyDescent="0.3">
      <c r="B443" s="102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103"/>
      <c r="U443" s="93"/>
      <c r="V443" s="94"/>
      <c r="W443" s="94"/>
      <c r="X443" s="94"/>
      <c r="Y443" s="95"/>
      <c r="Z443" s="96"/>
      <c r="AA443" s="96"/>
      <c r="AB443" s="96"/>
      <c r="AC443" s="96"/>
      <c r="AD443" s="95"/>
      <c r="AE443" s="95"/>
      <c r="AF443" s="95"/>
    </row>
    <row r="444" spans="2:32" s="101" customFormat="1" ht="14.25" customHeight="1" x14ac:dyDescent="0.3">
      <c r="B444" s="102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103"/>
      <c r="U444" s="93"/>
      <c r="V444" s="94"/>
      <c r="W444" s="94"/>
      <c r="X444" s="94"/>
      <c r="Y444" s="95"/>
      <c r="Z444" s="96"/>
      <c r="AA444" s="96"/>
      <c r="AB444" s="96"/>
      <c r="AC444" s="96"/>
      <c r="AD444" s="95"/>
      <c r="AE444" s="95"/>
      <c r="AF444" s="95"/>
    </row>
    <row r="445" spans="2:32" s="101" customFormat="1" ht="14.25" customHeight="1" x14ac:dyDescent="0.3">
      <c r="B445" s="102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103"/>
      <c r="U445" s="93"/>
      <c r="V445" s="94"/>
      <c r="W445" s="94"/>
      <c r="X445" s="94"/>
      <c r="Y445" s="95"/>
      <c r="Z445" s="96"/>
      <c r="AA445" s="96"/>
      <c r="AB445" s="96"/>
      <c r="AC445" s="96"/>
      <c r="AD445" s="95"/>
      <c r="AE445" s="95"/>
      <c r="AF445" s="95"/>
    </row>
    <row r="446" spans="2:32" s="101" customFormat="1" ht="14.25" customHeight="1" x14ac:dyDescent="0.3">
      <c r="B446" s="102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103"/>
      <c r="U446" s="93"/>
      <c r="V446" s="94"/>
      <c r="W446" s="94"/>
      <c r="X446" s="94"/>
      <c r="Y446" s="95"/>
      <c r="Z446" s="96"/>
      <c r="AA446" s="96"/>
      <c r="AB446" s="96"/>
      <c r="AC446" s="96"/>
      <c r="AD446" s="95"/>
      <c r="AE446" s="95"/>
      <c r="AF446" s="95"/>
    </row>
    <row r="447" spans="2:32" s="101" customFormat="1" ht="14.25" customHeight="1" x14ac:dyDescent="0.3">
      <c r="B447" s="102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103"/>
      <c r="U447" s="93"/>
      <c r="V447" s="94"/>
      <c r="W447" s="94"/>
      <c r="X447" s="94"/>
      <c r="Y447" s="95"/>
      <c r="Z447" s="96"/>
      <c r="AA447" s="96"/>
      <c r="AB447" s="96"/>
      <c r="AC447" s="96"/>
      <c r="AD447" s="95"/>
      <c r="AE447" s="95"/>
      <c r="AF447" s="95"/>
    </row>
    <row r="448" spans="2:32" s="101" customFormat="1" ht="14.25" customHeight="1" x14ac:dyDescent="0.3">
      <c r="B448" s="102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103"/>
      <c r="U448" s="93"/>
      <c r="V448" s="94"/>
      <c r="W448" s="94"/>
      <c r="X448" s="94"/>
      <c r="Y448" s="95"/>
      <c r="Z448" s="96"/>
      <c r="AA448" s="96"/>
      <c r="AB448" s="96"/>
      <c r="AC448" s="96"/>
      <c r="AD448" s="95"/>
      <c r="AE448" s="95"/>
      <c r="AF448" s="95"/>
    </row>
    <row r="449" spans="2:32" s="101" customFormat="1" ht="14.25" customHeight="1" x14ac:dyDescent="0.3">
      <c r="B449" s="102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103"/>
      <c r="U449" s="93"/>
      <c r="V449" s="94"/>
      <c r="W449" s="94"/>
      <c r="X449" s="94"/>
      <c r="Y449" s="95"/>
      <c r="Z449" s="96"/>
      <c r="AA449" s="96"/>
      <c r="AB449" s="96"/>
      <c r="AC449" s="96"/>
      <c r="AD449" s="95"/>
      <c r="AE449" s="95"/>
      <c r="AF449" s="95"/>
    </row>
    <row r="450" spans="2:32" s="101" customFormat="1" ht="14.25" customHeight="1" x14ac:dyDescent="0.3">
      <c r="B450" s="102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103"/>
      <c r="U450" s="93"/>
      <c r="V450" s="94"/>
      <c r="W450" s="94"/>
      <c r="X450" s="94"/>
      <c r="Y450" s="95"/>
      <c r="Z450" s="96"/>
      <c r="AA450" s="96"/>
      <c r="AB450" s="96"/>
      <c r="AC450" s="96"/>
      <c r="AD450" s="95"/>
      <c r="AE450" s="95"/>
      <c r="AF450" s="95"/>
    </row>
    <row r="451" spans="2:32" s="101" customFormat="1" ht="14.25" customHeight="1" x14ac:dyDescent="0.3">
      <c r="B451" s="102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103"/>
      <c r="U451" s="93"/>
      <c r="V451" s="94"/>
      <c r="W451" s="94"/>
      <c r="X451" s="94"/>
      <c r="Y451" s="95"/>
      <c r="Z451" s="96"/>
      <c r="AA451" s="96"/>
      <c r="AB451" s="96"/>
      <c r="AC451" s="96"/>
      <c r="AD451" s="95"/>
      <c r="AE451" s="95"/>
      <c r="AF451" s="95"/>
    </row>
    <row r="452" spans="2:32" s="101" customFormat="1" ht="14.25" customHeight="1" x14ac:dyDescent="0.3">
      <c r="B452" s="102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103"/>
      <c r="U452" s="93"/>
      <c r="V452" s="94"/>
      <c r="W452" s="94"/>
      <c r="X452" s="94"/>
      <c r="Y452" s="95"/>
      <c r="Z452" s="96"/>
      <c r="AA452" s="96"/>
      <c r="AB452" s="96"/>
      <c r="AC452" s="96"/>
      <c r="AD452" s="95"/>
      <c r="AE452" s="95"/>
      <c r="AF452" s="95"/>
    </row>
    <row r="453" spans="2:32" s="101" customFormat="1" ht="14.25" customHeight="1" x14ac:dyDescent="0.3">
      <c r="B453" s="102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103"/>
      <c r="U453" s="93"/>
      <c r="V453" s="94"/>
      <c r="W453" s="94"/>
      <c r="X453" s="94"/>
      <c r="Y453" s="95"/>
      <c r="Z453" s="96"/>
      <c r="AA453" s="96"/>
      <c r="AB453" s="96"/>
      <c r="AC453" s="96"/>
      <c r="AD453" s="95"/>
      <c r="AE453" s="95"/>
      <c r="AF453" s="95"/>
    </row>
    <row r="454" spans="2:32" s="101" customFormat="1" ht="14.25" customHeight="1" x14ac:dyDescent="0.3">
      <c r="B454" s="102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103"/>
      <c r="U454" s="93"/>
      <c r="V454" s="94"/>
      <c r="W454" s="94"/>
      <c r="X454" s="94"/>
      <c r="Y454" s="95"/>
      <c r="Z454" s="96"/>
      <c r="AA454" s="96"/>
      <c r="AB454" s="96"/>
      <c r="AC454" s="96"/>
      <c r="AD454" s="95"/>
      <c r="AE454" s="95"/>
      <c r="AF454" s="95"/>
    </row>
    <row r="455" spans="2:32" s="101" customFormat="1" ht="14.25" customHeight="1" x14ac:dyDescent="0.3">
      <c r="B455" s="102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103"/>
      <c r="U455" s="93"/>
      <c r="V455" s="94"/>
      <c r="W455" s="94"/>
      <c r="X455" s="94"/>
      <c r="Y455" s="95"/>
      <c r="Z455" s="96"/>
      <c r="AA455" s="96"/>
      <c r="AB455" s="96"/>
      <c r="AC455" s="96"/>
      <c r="AD455" s="95"/>
      <c r="AE455" s="95"/>
      <c r="AF455" s="95"/>
    </row>
    <row r="456" spans="2:32" s="101" customFormat="1" ht="14.25" customHeight="1" x14ac:dyDescent="0.3">
      <c r="B456" s="102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103"/>
      <c r="U456" s="93"/>
      <c r="V456" s="94"/>
      <c r="W456" s="94"/>
      <c r="X456" s="94"/>
      <c r="Y456" s="95"/>
      <c r="Z456" s="96"/>
      <c r="AA456" s="96"/>
      <c r="AB456" s="96"/>
      <c r="AC456" s="96"/>
      <c r="AD456" s="95"/>
      <c r="AE456" s="95"/>
      <c r="AF456" s="95"/>
    </row>
    <row r="457" spans="2:32" s="101" customFormat="1" ht="14.25" customHeight="1" x14ac:dyDescent="0.3">
      <c r="B457" s="102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103"/>
      <c r="U457" s="93"/>
      <c r="V457" s="94"/>
      <c r="W457" s="94"/>
      <c r="X457" s="94"/>
      <c r="Y457" s="95"/>
      <c r="Z457" s="96"/>
      <c r="AA457" s="96"/>
      <c r="AB457" s="96"/>
      <c r="AC457" s="96"/>
      <c r="AD457" s="95"/>
      <c r="AE457" s="95"/>
      <c r="AF457" s="95"/>
    </row>
    <row r="458" spans="2:32" s="101" customFormat="1" ht="14.25" customHeight="1" x14ac:dyDescent="0.3">
      <c r="B458" s="102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103"/>
      <c r="U458" s="93"/>
      <c r="V458" s="94"/>
      <c r="W458" s="94"/>
      <c r="X458" s="94"/>
      <c r="Y458" s="95"/>
      <c r="Z458" s="96"/>
      <c r="AA458" s="96"/>
      <c r="AB458" s="96"/>
      <c r="AC458" s="96"/>
      <c r="AD458" s="95"/>
      <c r="AE458" s="95"/>
      <c r="AF458" s="95"/>
    </row>
    <row r="459" spans="2:32" s="101" customFormat="1" ht="14.25" customHeight="1" x14ac:dyDescent="0.3">
      <c r="B459" s="102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103"/>
      <c r="U459" s="93"/>
      <c r="V459" s="94"/>
      <c r="W459" s="94"/>
      <c r="X459" s="94"/>
      <c r="Y459" s="95"/>
      <c r="Z459" s="96"/>
      <c r="AA459" s="96"/>
      <c r="AB459" s="96"/>
      <c r="AC459" s="96"/>
      <c r="AD459" s="95"/>
      <c r="AE459" s="95"/>
      <c r="AF459" s="95"/>
    </row>
    <row r="460" spans="2:32" s="101" customFormat="1" ht="14.25" customHeight="1" x14ac:dyDescent="0.3">
      <c r="B460" s="102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103"/>
      <c r="U460" s="93"/>
      <c r="V460" s="94"/>
      <c r="W460" s="94"/>
      <c r="X460" s="94"/>
      <c r="Y460" s="95"/>
      <c r="Z460" s="96"/>
      <c r="AA460" s="96"/>
      <c r="AB460" s="96"/>
      <c r="AC460" s="96"/>
      <c r="AD460" s="95"/>
      <c r="AE460" s="95"/>
      <c r="AF460" s="95"/>
    </row>
    <row r="461" spans="2:32" s="101" customFormat="1" ht="14.25" customHeight="1" x14ac:dyDescent="0.3">
      <c r="B461" s="102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103"/>
      <c r="U461" s="93"/>
      <c r="V461" s="94"/>
      <c r="W461" s="94"/>
      <c r="X461" s="94"/>
      <c r="Y461" s="95"/>
      <c r="Z461" s="96"/>
      <c r="AA461" s="96"/>
      <c r="AB461" s="96"/>
      <c r="AC461" s="96"/>
      <c r="AD461" s="95"/>
      <c r="AE461" s="95"/>
      <c r="AF461" s="95"/>
    </row>
    <row r="462" spans="2:32" s="101" customFormat="1" ht="14.25" customHeight="1" x14ac:dyDescent="0.3">
      <c r="B462" s="102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103"/>
      <c r="U462" s="93"/>
      <c r="V462" s="94"/>
      <c r="W462" s="94"/>
      <c r="X462" s="94"/>
      <c r="Y462" s="95"/>
      <c r="Z462" s="96"/>
      <c r="AA462" s="96"/>
      <c r="AB462" s="96"/>
      <c r="AC462" s="96"/>
      <c r="AD462" s="95"/>
      <c r="AE462" s="95"/>
      <c r="AF462" s="95"/>
    </row>
    <row r="463" spans="2:32" s="101" customFormat="1" ht="14.25" customHeight="1" x14ac:dyDescent="0.3">
      <c r="B463" s="102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103"/>
      <c r="U463" s="93"/>
      <c r="V463" s="94"/>
      <c r="W463" s="94"/>
      <c r="X463" s="94"/>
      <c r="Y463" s="95"/>
      <c r="Z463" s="96"/>
      <c r="AA463" s="96"/>
      <c r="AB463" s="96"/>
      <c r="AC463" s="96"/>
      <c r="AD463" s="95"/>
      <c r="AE463" s="95"/>
      <c r="AF463" s="95"/>
    </row>
    <row r="464" spans="2:32" s="101" customFormat="1" ht="14.25" customHeight="1" x14ac:dyDescent="0.3">
      <c r="B464" s="102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103"/>
      <c r="U464" s="93"/>
      <c r="V464" s="94"/>
      <c r="W464" s="94"/>
      <c r="X464" s="94"/>
      <c r="Y464" s="95"/>
      <c r="Z464" s="96"/>
      <c r="AA464" s="96"/>
      <c r="AB464" s="96"/>
      <c r="AC464" s="96"/>
      <c r="AD464" s="95"/>
      <c r="AE464" s="95"/>
      <c r="AF464" s="95"/>
    </row>
    <row r="465" spans="2:32" s="101" customFormat="1" ht="14.25" customHeight="1" x14ac:dyDescent="0.3">
      <c r="B465" s="102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103"/>
      <c r="U465" s="93"/>
      <c r="V465" s="94"/>
      <c r="W465" s="94"/>
      <c r="X465" s="94"/>
      <c r="Y465" s="95"/>
      <c r="Z465" s="96"/>
      <c r="AA465" s="96"/>
      <c r="AB465" s="96"/>
      <c r="AC465" s="96"/>
      <c r="AD465" s="95"/>
      <c r="AE465" s="95"/>
      <c r="AF465" s="95"/>
    </row>
    <row r="466" spans="2:32" s="101" customFormat="1" ht="14.25" customHeight="1" x14ac:dyDescent="0.3">
      <c r="B466" s="102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103"/>
      <c r="U466" s="93"/>
      <c r="V466" s="94"/>
      <c r="W466" s="94"/>
      <c r="X466" s="94"/>
      <c r="Y466" s="95"/>
      <c r="Z466" s="96"/>
      <c r="AA466" s="96"/>
      <c r="AB466" s="96"/>
      <c r="AC466" s="96"/>
      <c r="AD466" s="95"/>
      <c r="AE466" s="95"/>
      <c r="AF466" s="95"/>
    </row>
    <row r="467" spans="2:32" s="101" customFormat="1" ht="14.25" customHeight="1" x14ac:dyDescent="0.3">
      <c r="B467" s="102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103"/>
      <c r="U467" s="93"/>
      <c r="V467" s="94"/>
      <c r="W467" s="94"/>
      <c r="X467" s="94"/>
      <c r="Y467" s="95"/>
      <c r="Z467" s="96"/>
      <c r="AA467" s="96"/>
      <c r="AB467" s="96"/>
      <c r="AC467" s="96"/>
      <c r="AD467" s="95"/>
      <c r="AE467" s="95"/>
      <c r="AF467" s="95"/>
    </row>
    <row r="468" spans="2:32" s="101" customFormat="1" ht="14.25" customHeight="1" x14ac:dyDescent="0.3">
      <c r="B468" s="102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103"/>
      <c r="U468" s="93"/>
      <c r="V468" s="94"/>
      <c r="W468" s="94"/>
      <c r="X468" s="94"/>
      <c r="Y468" s="95"/>
      <c r="Z468" s="96"/>
      <c r="AA468" s="96"/>
      <c r="AB468" s="96"/>
      <c r="AC468" s="96"/>
      <c r="AD468" s="95"/>
      <c r="AE468" s="95"/>
      <c r="AF468" s="95"/>
    </row>
    <row r="469" spans="2:32" s="101" customFormat="1" ht="14.25" customHeight="1" x14ac:dyDescent="0.3">
      <c r="B469" s="102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103"/>
      <c r="U469" s="93"/>
      <c r="V469" s="94"/>
      <c r="W469" s="94"/>
      <c r="X469" s="94"/>
      <c r="Y469" s="95"/>
      <c r="Z469" s="96"/>
      <c r="AA469" s="96"/>
      <c r="AB469" s="96"/>
      <c r="AC469" s="96"/>
      <c r="AD469" s="95"/>
      <c r="AE469" s="95"/>
      <c r="AF469" s="95"/>
    </row>
    <row r="470" spans="2:32" s="101" customFormat="1" ht="14.25" customHeight="1" x14ac:dyDescent="0.3">
      <c r="B470" s="102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103"/>
      <c r="U470" s="93"/>
      <c r="V470" s="94"/>
      <c r="W470" s="94"/>
      <c r="X470" s="94"/>
      <c r="Y470" s="95"/>
      <c r="Z470" s="96"/>
      <c r="AA470" s="96"/>
      <c r="AB470" s="96"/>
      <c r="AC470" s="96"/>
      <c r="AD470" s="95"/>
      <c r="AE470" s="95"/>
      <c r="AF470" s="95"/>
    </row>
    <row r="471" spans="2:32" s="101" customFormat="1" ht="14.25" customHeight="1" x14ac:dyDescent="0.3">
      <c r="B471" s="102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103"/>
      <c r="U471" s="93"/>
      <c r="V471" s="94"/>
      <c r="W471" s="94"/>
      <c r="X471" s="94"/>
      <c r="Y471" s="95"/>
      <c r="Z471" s="96"/>
      <c r="AA471" s="96"/>
      <c r="AB471" s="96"/>
      <c r="AC471" s="96"/>
      <c r="AD471" s="95"/>
      <c r="AE471" s="95"/>
      <c r="AF471" s="95"/>
    </row>
    <row r="472" spans="2:32" s="101" customFormat="1" ht="14.25" customHeight="1" x14ac:dyDescent="0.3">
      <c r="B472" s="102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103"/>
      <c r="U472" s="93"/>
      <c r="V472" s="94"/>
      <c r="W472" s="94"/>
      <c r="X472" s="94"/>
      <c r="Y472" s="95"/>
      <c r="Z472" s="96"/>
      <c r="AA472" s="96"/>
      <c r="AB472" s="96"/>
      <c r="AC472" s="96"/>
      <c r="AD472" s="95"/>
      <c r="AE472" s="95"/>
      <c r="AF472" s="95"/>
    </row>
    <row r="473" spans="2:32" s="101" customFormat="1" ht="14.25" customHeight="1" x14ac:dyDescent="0.3">
      <c r="B473" s="102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103"/>
      <c r="U473" s="93"/>
      <c r="V473" s="94"/>
      <c r="W473" s="94"/>
      <c r="X473" s="94"/>
      <c r="Y473" s="95"/>
      <c r="Z473" s="96"/>
      <c r="AA473" s="96"/>
      <c r="AB473" s="96"/>
      <c r="AC473" s="96"/>
      <c r="AD473" s="95"/>
      <c r="AE473" s="95"/>
      <c r="AF473" s="95"/>
    </row>
    <row r="474" spans="2:32" s="101" customFormat="1" ht="14.25" customHeight="1" x14ac:dyDescent="0.3">
      <c r="B474" s="102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103"/>
      <c r="U474" s="93"/>
      <c r="V474" s="94"/>
      <c r="W474" s="94"/>
      <c r="X474" s="94"/>
      <c r="Y474" s="95"/>
      <c r="Z474" s="96"/>
      <c r="AA474" s="96"/>
      <c r="AB474" s="96"/>
      <c r="AC474" s="96"/>
      <c r="AD474" s="95"/>
      <c r="AE474" s="95"/>
      <c r="AF474" s="95"/>
    </row>
    <row r="475" spans="2:32" s="101" customFormat="1" ht="14.25" customHeight="1" x14ac:dyDescent="0.3">
      <c r="B475" s="102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103"/>
      <c r="U475" s="93"/>
      <c r="V475" s="94"/>
      <c r="W475" s="94"/>
      <c r="X475" s="94"/>
      <c r="Y475" s="95"/>
      <c r="Z475" s="96"/>
      <c r="AA475" s="96"/>
      <c r="AB475" s="96"/>
      <c r="AC475" s="96"/>
      <c r="AD475" s="95"/>
      <c r="AE475" s="95"/>
      <c r="AF475" s="95"/>
    </row>
    <row r="476" spans="2:32" s="101" customFormat="1" ht="14.25" customHeight="1" x14ac:dyDescent="0.3">
      <c r="B476" s="102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103"/>
      <c r="U476" s="93"/>
      <c r="V476" s="94"/>
      <c r="W476" s="94"/>
      <c r="X476" s="94"/>
      <c r="Y476" s="95"/>
      <c r="Z476" s="96"/>
      <c r="AA476" s="96"/>
      <c r="AB476" s="96"/>
      <c r="AC476" s="96"/>
      <c r="AD476" s="95"/>
      <c r="AE476" s="95"/>
      <c r="AF476" s="95"/>
    </row>
    <row r="477" spans="2:32" s="101" customFormat="1" ht="14.25" customHeight="1" x14ac:dyDescent="0.3">
      <c r="B477" s="102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103"/>
      <c r="U477" s="93"/>
      <c r="V477" s="94"/>
      <c r="W477" s="94"/>
      <c r="X477" s="94"/>
      <c r="Y477" s="95"/>
      <c r="Z477" s="96"/>
      <c r="AA477" s="96"/>
      <c r="AB477" s="96"/>
      <c r="AC477" s="96"/>
      <c r="AD477" s="95"/>
      <c r="AE477" s="95"/>
      <c r="AF477" s="95"/>
    </row>
    <row r="478" spans="2:32" s="101" customFormat="1" ht="14.25" customHeight="1" x14ac:dyDescent="0.3">
      <c r="B478" s="102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103"/>
      <c r="U478" s="93"/>
      <c r="V478" s="94"/>
      <c r="W478" s="94"/>
      <c r="X478" s="94"/>
      <c r="Y478" s="95"/>
      <c r="Z478" s="96"/>
      <c r="AA478" s="96"/>
      <c r="AB478" s="96"/>
      <c r="AC478" s="96"/>
      <c r="AD478" s="95"/>
      <c r="AE478" s="95"/>
      <c r="AF478" s="95"/>
    </row>
    <row r="479" spans="2:32" s="101" customFormat="1" ht="14.25" customHeight="1" x14ac:dyDescent="0.3">
      <c r="B479" s="102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103"/>
      <c r="U479" s="93"/>
      <c r="V479" s="94"/>
      <c r="W479" s="94"/>
      <c r="X479" s="94"/>
      <c r="Y479" s="95"/>
      <c r="Z479" s="96"/>
      <c r="AA479" s="96"/>
      <c r="AB479" s="96"/>
      <c r="AC479" s="96"/>
      <c r="AD479" s="95"/>
      <c r="AE479" s="95"/>
      <c r="AF479" s="95"/>
    </row>
    <row r="480" spans="2:32" s="101" customFormat="1" ht="14.25" customHeight="1" x14ac:dyDescent="0.3">
      <c r="B480" s="102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103"/>
      <c r="U480" s="93"/>
      <c r="V480" s="94"/>
      <c r="W480" s="94"/>
      <c r="X480" s="94"/>
      <c r="Y480" s="95"/>
      <c r="Z480" s="96"/>
      <c r="AA480" s="96"/>
      <c r="AB480" s="96"/>
      <c r="AC480" s="96"/>
      <c r="AD480" s="95"/>
      <c r="AE480" s="95"/>
      <c r="AF480" s="95"/>
    </row>
    <row r="481" spans="2:32" s="101" customFormat="1" ht="14.25" customHeight="1" x14ac:dyDescent="0.3">
      <c r="B481" s="102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103"/>
      <c r="U481" s="93"/>
      <c r="V481" s="94"/>
      <c r="W481" s="94"/>
      <c r="X481" s="94"/>
      <c r="Y481" s="95"/>
      <c r="Z481" s="96"/>
      <c r="AA481" s="96"/>
      <c r="AB481" s="96"/>
      <c r="AC481" s="96"/>
      <c r="AD481" s="95"/>
      <c r="AE481" s="95"/>
      <c r="AF481" s="95"/>
    </row>
    <row r="482" spans="2:32" s="101" customFormat="1" ht="14.25" customHeight="1" x14ac:dyDescent="0.3">
      <c r="B482" s="102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103"/>
      <c r="U482" s="93"/>
      <c r="V482" s="94"/>
      <c r="W482" s="94"/>
      <c r="X482" s="94"/>
      <c r="Y482" s="95"/>
      <c r="Z482" s="96"/>
      <c r="AA482" s="96"/>
      <c r="AB482" s="96"/>
      <c r="AC482" s="96"/>
      <c r="AD482" s="95"/>
      <c r="AE482" s="95"/>
      <c r="AF482" s="95"/>
    </row>
    <row r="483" spans="2:32" s="101" customFormat="1" ht="14.25" customHeight="1" x14ac:dyDescent="0.3">
      <c r="B483" s="102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103"/>
      <c r="U483" s="93"/>
      <c r="V483" s="94"/>
      <c r="W483" s="94"/>
      <c r="X483" s="94"/>
      <c r="Y483" s="95"/>
      <c r="Z483" s="96"/>
      <c r="AA483" s="96"/>
      <c r="AB483" s="96"/>
      <c r="AC483" s="96"/>
      <c r="AD483" s="95"/>
      <c r="AE483" s="95"/>
      <c r="AF483" s="95"/>
    </row>
    <row r="484" spans="2:32" s="101" customFormat="1" ht="14.25" customHeight="1" x14ac:dyDescent="0.3">
      <c r="B484" s="102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103"/>
      <c r="U484" s="93"/>
      <c r="V484" s="94"/>
      <c r="W484" s="94"/>
      <c r="X484" s="94"/>
      <c r="Y484" s="95"/>
      <c r="Z484" s="96"/>
      <c r="AA484" s="96"/>
      <c r="AB484" s="96"/>
      <c r="AC484" s="96"/>
      <c r="AD484" s="95"/>
      <c r="AE484" s="95"/>
      <c r="AF484" s="95"/>
    </row>
  </sheetData>
  <mergeCells count="190">
    <mergeCell ref="U5:X5"/>
    <mergeCell ref="A7:A8"/>
    <mergeCell ref="B7:S8"/>
    <mergeCell ref="T7:W7"/>
    <mergeCell ref="B9:S9"/>
    <mergeCell ref="Y9:AA9"/>
    <mergeCell ref="A1:E1"/>
    <mergeCell ref="A2:E2"/>
    <mergeCell ref="A3:E3"/>
    <mergeCell ref="A4:E4"/>
    <mergeCell ref="G4:S4"/>
    <mergeCell ref="A5:E5"/>
    <mergeCell ref="C14:S14"/>
    <mergeCell ref="C15:S15"/>
    <mergeCell ref="C16:S16"/>
    <mergeCell ref="S20:V20"/>
    <mergeCell ref="B21:S21"/>
    <mergeCell ref="Y20:AA20"/>
    <mergeCell ref="AB9:AD9"/>
    <mergeCell ref="C10:S10"/>
    <mergeCell ref="B11:B13"/>
    <mergeCell ref="C11:S11"/>
    <mergeCell ref="C12:S12"/>
    <mergeCell ref="C13:S13"/>
    <mergeCell ref="C27:R27"/>
    <mergeCell ref="S27:V27"/>
    <mergeCell ref="Y27:AA27"/>
    <mergeCell ref="AB27:AD27"/>
    <mergeCell ref="B30:R30"/>
    <mergeCell ref="AB20:AD20"/>
    <mergeCell ref="C22:S22"/>
    <mergeCell ref="B23:B26"/>
    <mergeCell ref="C23:S23"/>
    <mergeCell ref="C24:S24"/>
    <mergeCell ref="C25:S25"/>
    <mergeCell ref="C26:S26"/>
    <mergeCell ref="C37:S37"/>
    <mergeCell ref="C38:S38"/>
    <mergeCell ref="S40:V40"/>
    <mergeCell ref="B41:S41"/>
    <mergeCell ref="Y40:AA40"/>
    <mergeCell ref="AB40:AD40"/>
    <mergeCell ref="B33:S33"/>
    <mergeCell ref="C35:S35"/>
    <mergeCell ref="S49:V49"/>
    <mergeCell ref="B50:S50"/>
    <mergeCell ref="Y49:AA49"/>
    <mergeCell ref="AB49:AD49"/>
    <mergeCell ref="S55:V55"/>
    <mergeCell ref="B56:S56"/>
    <mergeCell ref="Y55:AA55"/>
    <mergeCell ref="AB55:AD55"/>
    <mergeCell ref="Y66:AA66"/>
    <mergeCell ref="AB66:AD66"/>
    <mergeCell ref="C85:R85"/>
    <mergeCell ref="S85:V85"/>
    <mergeCell ref="Y85:AA85"/>
    <mergeCell ref="AB85:AD85"/>
    <mergeCell ref="B86:S86"/>
    <mergeCell ref="S63:V63"/>
    <mergeCell ref="B64:S64"/>
    <mergeCell ref="Y63:AA63"/>
    <mergeCell ref="AB63:AD63"/>
    <mergeCell ref="S66:V66"/>
    <mergeCell ref="B67:S67"/>
    <mergeCell ref="C106:R106"/>
    <mergeCell ref="S106:V106"/>
    <mergeCell ref="Y106:AA106"/>
    <mergeCell ref="AB106:AD106"/>
    <mergeCell ref="C110:R110"/>
    <mergeCell ref="S110:V110"/>
    <mergeCell ref="Y110:AA110"/>
    <mergeCell ref="AB110:AD110"/>
    <mergeCell ref="C90:R90"/>
    <mergeCell ref="S90:V90"/>
    <mergeCell ref="Y90:AA90"/>
    <mergeCell ref="AB90:AD90"/>
    <mergeCell ref="C99:R99"/>
    <mergeCell ref="S99:V99"/>
    <mergeCell ref="Y99:AA99"/>
    <mergeCell ref="AB99:AD99"/>
    <mergeCell ref="B118:S118"/>
    <mergeCell ref="C136:R136"/>
    <mergeCell ref="S136:V136"/>
    <mergeCell ref="Y136:AA136"/>
    <mergeCell ref="AB136:AD136"/>
    <mergeCell ref="B137:S137"/>
    <mergeCell ref="C114:R114"/>
    <mergeCell ref="S114:V114"/>
    <mergeCell ref="Y114:AA114"/>
    <mergeCell ref="AB114:AD114"/>
    <mergeCell ref="C117:R117"/>
    <mergeCell ref="S117:V117"/>
    <mergeCell ref="Y117:AA117"/>
    <mergeCell ref="AB117:AD117"/>
    <mergeCell ref="C152:R152"/>
    <mergeCell ref="S152:V152"/>
    <mergeCell ref="Y152:AA152"/>
    <mergeCell ref="AB152:AD152"/>
    <mergeCell ref="C156:R156"/>
    <mergeCell ref="S156:V156"/>
    <mergeCell ref="Y156:AA156"/>
    <mergeCell ref="AB156:AD156"/>
    <mergeCell ref="C145:R145"/>
    <mergeCell ref="S145:V145"/>
    <mergeCell ref="Y145:AA145"/>
    <mergeCell ref="AB145:AD145"/>
    <mergeCell ref="C149:R149"/>
    <mergeCell ref="S149:V149"/>
    <mergeCell ref="Y149:AA149"/>
    <mergeCell ref="AB149:AD149"/>
    <mergeCell ref="AB167:AD167"/>
    <mergeCell ref="C170:R170"/>
    <mergeCell ref="S170:V170"/>
    <mergeCell ref="Y170:AA170"/>
    <mergeCell ref="AB170:AD170"/>
    <mergeCell ref="C160:R160"/>
    <mergeCell ref="S160:V160"/>
    <mergeCell ref="Y160:AA160"/>
    <mergeCell ref="AB160:AD160"/>
    <mergeCell ref="C164:R164"/>
    <mergeCell ref="S164:V164"/>
    <mergeCell ref="Y164:AA164"/>
    <mergeCell ref="AB164:AD164"/>
    <mergeCell ref="A171:S172"/>
    <mergeCell ref="T171:V172"/>
    <mergeCell ref="W171:W172"/>
    <mergeCell ref="X171:X172"/>
    <mergeCell ref="A173:S173"/>
    <mergeCell ref="T173:U173"/>
    <mergeCell ref="C167:R167"/>
    <mergeCell ref="S167:V167"/>
    <mergeCell ref="Y167:AA167"/>
    <mergeCell ref="T178:U178"/>
    <mergeCell ref="T179:U179"/>
    <mergeCell ref="T180:U180"/>
    <mergeCell ref="T181:U181"/>
    <mergeCell ref="T182:U182"/>
    <mergeCell ref="T183:U183"/>
    <mergeCell ref="B174:S174"/>
    <mergeCell ref="T174:U174"/>
    <mergeCell ref="B175:S175"/>
    <mergeCell ref="T175:U175"/>
    <mergeCell ref="B176:S176"/>
    <mergeCell ref="T176:U176"/>
    <mergeCell ref="B186:S186"/>
    <mergeCell ref="T186:U186"/>
    <mergeCell ref="T187:U187"/>
    <mergeCell ref="T188:U188"/>
    <mergeCell ref="T189:U189"/>
    <mergeCell ref="T190:U190"/>
    <mergeCell ref="B184:S184"/>
    <mergeCell ref="T184:U184"/>
    <mergeCell ref="B185:S185"/>
    <mergeCell ref="T185:U185"/>
    <mergeCell ref="S197:U197"/>
    <mergeCell ref="A198:I198"/>
    <mergeCell ref="J198:O198"/>
    <mergeCell ref="S198:T198"/>
    <mergeCell ref="B191:S191"/>
    <mergeCell ref="T191:U191"/>
    <mergeCell ref="T192:U192"/>
    <mergeCell ref="T193:U193"/>
    <mergeCell ref="T194:U194"/>
    <mergeCell ref="A195:S195"/>
    <mergeCell ref="T195:U195"/>
    <mergeCell ref="AE172:AE173"/>
    <mergeCell ref="AF172:AF173"/>
    <mergeCell ref="AG172:AG173"/>
    <mergeCell ref="U210:W210"/>
    <mergeCell ref="U211:W211"/>
    <mergeCell ref="B204:I204"/>
    <mergeCell ref="J204:O204"/>
    <mergeCell ref="A205:I205"/>
    <mergeCell ref="J205:O205"/>
    <mergeCell ref="A201:I201"/>
    <mergeCell ref="J201:O201"/>
    <mergeCell ref="A202:I202"/>
    <mergeCell ref="J202:O202"/>
    <mergeCell ref="B203:I203"/>
    <mergeCell ref="J203:O203"/>
    <mergeCell ref="A199:I199"/>
    <mergeCell ref="J199:O199"/>
    <mergeCell ref="S199:U199"/>
    <mergeCell ref="A200:I200"/>
    <mergeCell ref="J200:O200"/>
    <mergeCell ref="S200:U200"/>
    <mergeCell ref="A196:X196"/>
    <mergeCell ref="A197:I197"/>
    <mergeCell ref="J197:O197"/>
  </mergeCells>
  <pageMargins left="0.7" right="0.7" top="0.75" bottom="0.75" header="0.3" footer="0.3"/>
  <pageSetup paperSize="9" scale="66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5:J17"/>
  <sheetViews>
    <sheetView workbookViewId="0">
      <selection activeCell="M12" sqref="M12"/>
    </sheetView>
  </sheetViews>
  <sheetFormatPr defaultRowHeight="13.8" x14ac:dyDescent="0.3"/>
  <cols>
    <col min="1" max="3" width="8.88671875" style="44"/>
    <col min="4" max="5" width="10.109375" style="44" bestFit="1" customWidth="1"/>
    <col min="6" max="16384" width="8.88671875" style="44"/>
  </cols>
  <sheetData>
    <row r="5" spans="1:10" x14ac:dyDescent="0.3">
      <c r="B5" s="44" t="s">
        <v>82</v>
      </c>
    </row>
    <row r="6" spans="1:10" x14ac:dyDescent="0.3">
      <c r="B6" s="45">
        <v>2</v>
      </c>
      <c r="C6" s="45">
        <v>0.05</v>
      </c>
    </row>
    <row r="7" spans="1:10" x14ac:dyDescent="0.3">
      <c r="B7" s="45">
        <v>4</v>
      </c>
      <c r="C7" s="45">
        <v>7.4999999999999997E-2</v>
      </c>
    </row>
    <row r="8" spans="1:10" x14ac:dyDescent="0.3">
      <c r="B8" s="45">
        <v>5</v>
      </c>
      <c r="C8" s="45">
        <v>0.1</v>
      </c>
    </row>
    <row r="9" spans="1:10" x14ac:dyDescent="0.3">
      <c r="B9" s="45" t="s">
        <v>57</v>
      </c>
      <c r="C9" s="45">
        <v>0.15</v>
      </c>
    </row>
    <row r="11" spans="1:10" ht="27.6" x14ac:dyDescent="0.3">
      <c r="B11" s="45" t="s">
        <v>87</v>
      </c>
      <c r="C11" s="45">
        <f>20*16/1000</f>
        <v>0.32</v>
      </c>
    </row>
    <row r="12" spans="1:10" ht="55.2" x14ac:dyDescent="0.3">
      <c r="B12" s="45" t="s">
        <v>83</v>
      </c>
      <c r="C12" s="45">
        <v>1.65</v>
      </c>
    </row>
    <row r="14" spans="1:10" ht="55.2" x14ac:dyDescent="0.3">
      <c r="C14" s="45" t="s">
        <v>84</v>
      </c>
      <c r="D14" s="45" t="s">
        <v>85</v>
      </c>
      <c r="E14" s="45" t="s">
        <v>86</v>
      </c>
      <c r="F14" s="45" t="s">
        <v>88</v>
      </c>
      <c r="G14" s="45" t="s">
        <v>90</v>
      </c>
      <c r="H14" s="45" t="s">
        <v>91</v>
      </c>
      <c r="I14" s="45" t="s">
        <v>89</v>
      </c>
      <c r="J14" s="45" t="s">
        <v>92</v>
      </c>
    </row>
    <row r="15" spans="1:10" x14ac:dyDescent="0.3">
      <c r="A15" s="45" t="s">
        <v>71</v>
      </c>
      <c r="B15" s="45">
        <v>11</v>
      </c>
      <c r="C15" s="45">
        <f>8*B15</f>
        <v>88</v>
      </c>
      <c r="D15" s="45">
        <f>ROUNDDOWN(6/($C$12+$C$11),0)</f>
        <v>3</v>
      </c>
      <c r="E15" s="47">
        <f>ROUNDUP((C15/D15),)</f>
        <v>30</v>
      </c>
      <c r="F15" s="45">
        <f>((($C$12-$B$6*$C$6-$B$7*$C$7-$B$8*$C$8)/$C$9)+$B$6+$B$7+$B$8)*B15</f>
        <v>176</v>
      </c>
      <c r="G15" s="45">
        <v>0.35</v>
      </c>
      <c r="H15" s="45">
        <v>0.35</v>
      </c>
      <c r="I15" s="45">
        <f>(G15-2*0.04)*2+(H15-2*0.04)*2</f>
        <v>1.0799999999999998</v>
      </c>
      <c r="J15" s="45">
        <f>ROUNDUP(I15*F15/6,0)</f>
        <v>32</v>
      </c>
    </row>
    <row r="16" spans="1:10" x14ac:dyDescent="0.3">
      <c r="A16" s="45" t="s">
        <v>80</v>
      </c>
      <c r="B16" s="45">
        <v>9</v>
      </c>
      <c r="C16" s="45">
        <f>8*B16</f>
        <v>72</v>
      </c>
      <c r="D16" s="45">
        <f>ROUNDDOWN(6/($C$12+$C$11),0)</f>
        <v>3</v>
      </c>
      <c r="E16" s="47">
        <f>ROUNDUP((C16/D16),)</f>
        <v>24</v>
      </c>
      <c r="F16" s="45">
        <f>((($C$12-$B$6*$C$6-$B$7*$C$7-$B$8*$C$8)/$C$9)+$B$6+$B$7+$B$8)*B16</f>
        <v>144</v>
      </c>
      <c r="G16" s="45">
        <v>0.3</v>
      </c>
      <c r="H16" s="45">
        <v>0.3</v>
      </c>
      <c r="I16" s="45">
        <f>(G16-2*0.04)*2+(H16-2*0.04)*2</f>
        <v>0.87999999999999989</v>
      </c>
      <c r="J16" s="45">
        <f>ROUNDUP(I16*F16/6,0)</f>
        <v>22</v>
      </c>
    </row>
    <row r="17" spans="5:10" x14ac:dyDescent="0.3">
      <c r="E17" s="46">
        <f>ROUNDUP((E16+E15)*1.1,0)</f>
        <v>60</v>
      </c>
      <c r="J17" s="46">
        <f>ROUNDUP((J16+J15)*1.1,0)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Footing</vt:lpstr>
      <vt:lpstr>Concrete Proportion</vt:lpstr>
      <vt:lpstr>Column | Pedestal</vt:lpstr>
      <vt:lpstr>Steel Items</vt:lpstr>
      <vt:lpstr>Tile works</vt:lpstr>
      <vt:lpstr>SOG</vt:lpstr>
      <vt:lpstr>BOQ</vt:lpstr>
      <vt:lpstr>P1 | C1</vt:lpstr>
      <vt:lpstr>BOQ!Print_Area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Tektonic Design</dc:creator>
  <cp:lastModifiedBy>Tektonic Design</cp:lastModifiedBy>
  <dcterms:created xsi:type="dcterms:W3CDTF">2026-09-15T02:03:02Z</dcterms:created>
  <dcterms:modified xsi:type="dcterms:W3CDTF">2026-09-23T05:33:32Z</dcterms:modified>
</cp:coreProperties>
</file>